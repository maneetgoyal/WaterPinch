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5" activeTab="1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  <sheet name="Sheet17" sheetId="17" r:id="rId17"/>
    <sheet name="Sheet18" sheetId="18" r:id="rId18"/>
    <sheet name="Sheet19" sheetId="19" r:id="rId19"/>
    <sheet name="Sheet20" sheetId="20" r:id="rId20"/>
    <sheet name="Sheet21" sheetId="21" r:id="rId21"/>
    <sheet name="Sheet22" sheetId="22" r:id="rId22"/>
    <sheet name="Sheet23" sheetId="23" r:id="rId23"/>
    <sheet name="Sheet25" sheetId="25" r:id="rId24"/>
    <sheet name="Sheet26" sheetId="26" r:id="rId2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16" l="1"/>
  <c r="O27" i="16"/>
  <c r="O29" i="16"/>
  <c r="O31" i="16"/>
  <c r="O23" i="16"/>
  <c r="P24" i="16" s="1"/>
  <c r="Q24" i="16" s="1"/>
  <c r="R25" i="16" s="1"/>
  <c r="S25" i="16" s="1"/>
  <c r="L29" i="16"/>
  <c r="L25" i="16"/>
  <c r="L27" i="16"/>
  <c r="L31" i="16"/>
  <c r="L23" i="16"/>
  <c r="P26" i="16" l="1"/>
  <c r="Q11" i="26"/>
  <c r="Q12" i="26"/>
  <c r="Q16" i="26"/>
  <c r="Q9" i="26"/>
  <c r="K11" i="26"/>
  <c r="K12" i="26"/>
  <c r="K16" i="26"/>
  <c r="K9" i="26"/>
  <c r="Q9" i="25"/>
  <c r="Q10" i="25"/>
  <c r="Q11" i="25"/>
  <c r="Q12" i="25"/>
  <c r="Q8" i="25"/>
  <c r="K9" i="25"/>
  <c r="K10" i="25"/>
  <c r="K11" i="25"/>
  <c r="K12" i="25"/>
  <c r="K8" i="25"/>
  <c r="K13" i="16"/>
  <c r="K10" i="23"/>
  <c r="P28" i="16" l="1"/>
  <c r="Q26" i="16"/>
  <c r="R27" i="16" s="1"/>
  <c r="T19" i="23"/>
  <c r="S19" i="23"/>
  <c r="T16" i="23"/>
  <c r="S10" i="23"/>
  <c r="S11" i="23"/>
  <c r="S12" i="23"/>
  <c r="S13" i="23"/>
  <c r="S14" i="23"/>
  <c r="S15" i="23"/>
  <c r="S9" i="23"/>
  <c r="Q12" i="23"/>
  <c r="Q10" i="23"/>
  <c r="K12" i="23"/>
  <c r="Q12" i="16"/>
  <c r="Q11" i="16"/>
  <c r="K12" i="16"/>
  <c r="Q13" i="16"/>
  <c r="K11" i="16"/>
  <c r="P30" i="16" l="1"/>
  <c r="Q30" i="16" s="1"/>
  <c r="Q28" i="16"/>
  <c r="R29" i="16" s="1"/>
  <c r="S27" i="16"/>
  <c r="M19" i="19"/>
  <c r="M24" i="19"/>
  <c r="M23" i="19"/>
  <c r="L24" i="19"/>
  <c r="L23" i="19"/>
  <c r="T32" i="18"/>
  <c r="T31" i="18"/>
  <c r="T23" i="18"/>
  <c r="T33" i="18"/>
  <c r="T30" i="18"/>
  <c r="T29" i="18"/>
  <c r="R31" i="16" l="1"/>
  <c r="S31" i="16" s="1"/>
  <c r="S29" i="16"/>
  <c r="L9" i="15"/>
  <c r="L11" i="15"/>
  <c r="L13" i="15"/>
  <c r="L15" i="15"/>
  <c r="L17" i="15"/>
  <c r="L19" i="15"/>
  <c r="L7" i="15"/>
  <c r="M8" i="15" s="1"/>
  <c r="I12" i="15"/>
  <c r="I14" i="15"/>
  <c r="H9" i="15"/>
  <c r="P3" i="15" s="1"/>
  <c r="H11" i="15"/>
  <c r="H13" i="15"/>
  <c r="H15" i="15"/>
  <c r="I16" i="15" s="1"/>
  <c r="H17" i="15"/>
  <c r="I18" i="15" s="1"/>
  <c r="H7" i="15"/>
  <c r="P2" i="15" s="1"/>
  <c r="G19" i="15"/>
  <c r="H19" i="15" s="1"/>
  <c r="I8" i="15" l="1"/>
  <c r="N8" i="15" s="1"/>
  <c r="O9" i="15" s="1"/>
  <c r="P9" i="15" s="1"/>
  <c r="I10" i="15"/>
  <c r="M10" i="15"/>
  <c r="N10" i="15" l="1"/>
  <c r="O11" i="15"/>
  <c r="P11" i="15" s="1"/>
  <c r="M12" i="15"/>
  <c r="M14" i="15" s="1"/>
  <c r="N12" i="15" l="1"/>
  <c r="O13" i="15" s="1"/>
  <c r="P13" i="15" s="1"/>
  <c r="N14" i="15"/>
  <c r="M16" i="15"/>
  <c r="O15" i="15" l="1"/>
  <c r="P15" i="15" s="1"/>
  <c r="N16" i="15"/>
  <c r="M18" i="15"/>
  <c r="N18" i="15" s="1"/>
  <c r="O17" i="15" l="1"/>
  <c r="P17" i="15" s="1"/>
  <c r="O19" i="15" l="1"/>
  <c r="P19" i="15" s="1"/>
</calcChain>
</file>

<file path=xl/sharedStrings.xml><?xml version="1.0" encoding="utf-8"?>
<sst xmlns="http://schemas.openxmlformats.org/spreadsheetml/2006/main" count="972" uniqueCount="141">
  <si>
    <t>Operation Number</t>
  </si>
  <si>
    <t>Operation Name</t>
  </si>
  <si>
    <t>Operation Type</t>
  </si>
  <si>
    <t>Contaminant Mass</t>
  </si>
  <si>
    <t>Cin</t>
  </si>
  <si>
    <t>Cout</t>
  </si>
  <si>
    <t>Limiting Water Flowrate</t>
  </si>
  <si>
    <t>#</t>
  </si>
  <si>
    <t>$</t>
  </si>
  <si>
    <t>g/h</t>
  </si>
  <si>
    <t>ppm</t>
  </si>
  <si>
    <t>t/h</t>
  </si>
  <si>
    <t>One</t>
  </si>
  <si>
    <t>Two</t>
  </si>
  <si>
    <t>Three</t>
  </si>
  <si>
    <t>Four</t>
  </si>
  <si>
    <t>FC</t>
  </si>
  <si>
    <t>FF or FC</t>
  </si>
  <si>
    <t>FreshWater_Star is giving the right answer of 112.5 t/h.</t>
  </si>
  <si>
    <t>FreshWater_Star is giving the right answer of FW1 = 20 and FW2 = 105.3763 t/h</t>
  </si>
  <si>
    <t>FW1</t>
  </si>
  <si>
    <t>FW2</t>
  </si>
  <si>
    <t>0 ppm</t>
  </si>
  <si>
    <t>25 ppm</t>
  </si>
  <si>
    <t>FW3</t>
  </si>
  <si>
    <t>75 ppm</t>
  </si>
  <si>
    <t>FreshWater_Star is giving the right answer of FW1 = 20, FW2 = 66.67 t/h and FW3 = 41.38 t/h</t>
  </si>
  <si>
    <t>FW4</t>
  </si>
  <si>
    <t>FW5</t>
  </si>
  <si>
    <t>FW6</t>
  </si>
  <si>
    <t>50 ppm</t>
  </si>
  <si>
    <t>100 ppm</t>
  </si>
  <si>
    <t>125 ppm</t>
  </si>
  <si>
    <t>in t/h</t>
  </si>
  <si>
    <t>Conc</t>
  </si>
  <si>
    <t>Type</t>
  </si>
  <si>
    <t>FreshWater_Star is giving the right answers.</t>
  </si>
  <si>
    <t>FF</t>
  </si>
  <si>
    <t>Limiting Water Data for AN Production</t>
  </si>
  <si>
    <t>Demand</t>
  </si>
  <si>
    <t>Stream No.</t>
  </si>
  <si>
    <t>Stream Name</t>
  </si>
  <si>
    <t>Flow Rate</t>
  </si>
  <si>
    <t>Concentration</t>
  </si>
  <si>
    <t>Source</t>
  </si>
  <si>
    <t>kg/s</t>
  </si>
  <si>
    <t>BFW</t>
  </si>
  <si>
    <t>Scrubber</t>
  </si>
  <si>
    <t>Distillation Bottoms</t>
  </si>
  <si>
    <t>Off-gas condensate</t>
  </si>
  <si>
    <t>Aqueous Layer</t>
  </si>
  <si>
    <t>Ejector Condensate</t>
  </si>
  <si>
    <t>WCT is giving the right answers.</t>
  </si>
  <si>
    <t>No. of Pinch</t>
  </si>
  <si>
    <t>Pinch Conc.</t>
  </si>
  <si>
    <t>WW</t>
  </si>
  <si>
    <t>FW</t>
  </si>
  <si>
    <t>11.6 and 25</t>
  </si>
  <si>
    <t>work on deciding the limiting pinch and multiple water sources allocation</t>
  </si>
  <si>
    <t>Limiting Water Data for AN Production (Partial Regeneration)</t>
  </si>
  <si>
    <t>Limiting Water Data for AN Production (Partial Regeneration and Process Changes)</t>
  </si>
  <si>
    <t>Limiting Water Data for Case Study II</t>
  </si>
  <si>
    <t>A</t>
  </si>
  <si>
    <t>B</t>
  </si>
  <si>
    <t>C</t>
  </si>
  <si>
    <t>D</t>
  </si>
  <si>
    <t>E</t>
  </si>
  <si>
    <t>F</t>
  </si>
  <si>
    <t>100 and 180</t>
  </si>
  <si>
    <t>Limiting Water Data for Case Study III</t>
  </si>
  <si>
    <t>Limiting Water Data for Case Study IV</t>
  </si>
  <si>
    <t>Limiting Water Data for Case Study V</t>
  </si>
  <si>
    <t>Limiting Water Data for Case Study VI</t>
  </si>
  <si>
    <t>Level</t>
  </si>
  <si>
    <t>Net Demand</t>
  </si>
  <si>
    <t>Cumulative Net Demand</t>
  </si>
  <si>
    <t>Purity</t>
  </si>
  <si>
    <t>delta Purity</t>
  </si>
  <si>
    <t>Fresh Water Surplus</t>
  </si>
  <si>
    <t>Cumulative Fresh Water Surplus</t>
  </si>
  <si>
    <t>Interval Fresh Water Demand</t>
  </si>
  <si>
    <t>FW Purity</t>
  </si>
  <si>
    <t>Step 1</t>
  </si>
  <si>
    <t>Step 2</t>
  </si>
  <si>
    <t>Step 3</t>
  </si>
  <si>
    <t>Correct the lower quality source flowrate.</t>
  </si>
  <si>
    <t>FW Purity Dirty</t>
  </si>
  <si>
    <t>Target using lower quality stream for levels lying below dirty index.</t>
  </si>
  <si>
    <t>Target using high quality stream for levels lying above and at dirty index.</t>
  </si>
  <si>
    <t>WCT gave right answers</t>
  </si>
  <si>
    <t>G</t>
  </si>
  <si>
    <t>H</t>
  </si>
  <si>
    <t>I</t>
  </si>
  <si>
    <t>J</t>
  </si>
  <si>
    <t>K</t>
  </si>
  <si>
    <t>L</t>
  </si>
  <si>
    <t>Check NNA</t>
  </si>
  <si>
    <t>NaN</t>
  </si>
  <si>
    <t>20-20</t>
  </si>
  <si>
    <t>Flow</t>
  </si>
  <si>
    <t>50-50</t>
  </si>
  <si>
    <t>100-30-20-50</t>
  </si>
  <si>
    <t>40-40</t>
  </si>
  <si>
    <t>100-100</t>
  </si>
  <si>
    <t>100-15-20-50-15</t>
  </si>
  <si>
    <t>100-65</t>
  </si>
  <si>
    <t>80-15-65</t>
  </si>
  <si>
    <t>70-35</t>
  </si>
  <si>
    <t>70-70</t>
  </si>
  <si>
    <t>10-10</t>
  </si>
  <si>
    <t>jj</t>
  </si>
  <si>
    <t>ii</t>
  </si>
  <si>
    <r>
      <rPr>
        <b/>
        <sz val="11"/>
        <color rgb="FFFF0000"/>
        <rFont val="Calibri"/>
        <family val="2"/>
        <scheme val="minor"/>
      </rPr>
      <t>155-20-30</t>
    </r>
    <r>
      <rPr>
        <b/>
        <sz val="11"/>
        <color theme="1"/>
        <rFont val="Calibri"/>
        <family val="2"/>
        <scheme val="minor"/>
      </rPr>
      <t>-35-20-50</t>
    </r>
  </si>
  <si>
    <r>
      <rPr>
        <b/>
        <sz val="11"/>
        <color rgb="FFFF0000"/>
        <rFont val="Calibri"/>
        <family val="2"/>
        <scheme val="minor"/>
      </rPr>
      <t>50-20</t>
    </r>
    <r>
      <rPr>
        <b/>
        <sz val="11"/>
        <color theme="1"/>
        <rFont val="Calibri"/>
        <family val="2"/>
        <scheme val="minor"/>
      </rPr>
      <t>-30</t>
    </r>
  </si>
  <si>
    <t>60-35-7.273</t>
  </si>
  <si>
    <t>40-2.727</t>
  </si>
  <si>
    <t>100-20-80</t>
  </si>
  <si>
    <t>90-20-50-20</t>
  </si>
  <si>
    <t>100-30-20-5.71</t>
  </si>
  <si>
    <t>40-4.29</t>
  </si>
  <si>
    <t>Load</t>
  </si>
  <si>
    <t>Loss</t>
  </si>
  <si>
    <t>Solo Source</t>
  </si>
  <si>
    <t>Solo Demand</t>
  </si>
  <si>
    <t>1e-6 t/h</t>
  </si>
  <si>
    <t>-</t>
  </si>
  <si>
    <t>Source Data Set I</t>
  </si>
  <si>
    <t>Demand Data Set I</t>
  </si>
  <si>
    <t>Demand Data Set II</t>
  </si>
  <si>
    <t>Source Data Set II</t>
  </si>
  <si>
    <t>Source Data Set III</t>
  </si>
  <si>
    <t>`</t>
  </si>
  <si>
    <t>Process Name</t>
  </si>
  <si>
    <t>In</t>
  </si>
  <si>
    <t>Out</t>
  </si>
  <si>
    <t>Demand Data Set IV</t>
  </si>
  <si>
    <t>Source Data Set IV</t>
  </si>
  <si>
    <t>50+20</t>
  </si>
  <si>
    <t>100+100+40</t>
  </si>
  <si>
    <t>S</t>
  </si>
  <si>
    <t>S-D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</si>
</sst>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"/>
    <numFmt numFmtId="165" formatCode="0.000000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0" fillId="2" borderId="18" xfId="0" applyFill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2" borderId="16" xfId="0" applyNumberFormat="1" applyFill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0" xfId="0" applyFill="1"/>
    <xf numFmtId="0" fontId="4" fillId="0" borderId="0" xfId="0" applyFont="1" applyFill="1"/>
    <xf numFmtId="0" fontId="3" fillId="0" borderId="3" xfId="0" applyFont="1" applyFill="1" applyBorder="1" applyAlignment="1">
      <alignment horizontal="left" indent="2"/>
    </xf>
    <xf numFmtId="165" fontId="0" fillId="2" borderId="0" xfId="0" applyNumberForma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16" fontId="3" fillId="3" borderId="3" xfId="0" quotePrefix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" fontId="0" fillId="3" borderId="3" xfId="0" quotePrefix="1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 applyAlignment="1"/>
    <xf numFmtId="0" fontId="0" fillId="0" borderId="20" xfId="0" applyBorder="1" applyAlignment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0" xfId="0" applyBorder="1"/>
    <xf numFmtId="0" fontId="0" fillId="0" borderId="45" xfId="0" applyBorder="1"/>
    <xf numFmtId="0" fontId="0" fillId="0" borderId="22" xfId="0" applyBorder="1"/>
    <xf numFmtId="0" fontId="0" fillId="0" borderId="2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2" xfId="0" quotePrefix="1" applyBorder="1" applyAlignment="1">
      <alignment horizontal="center"/>
    </xf>
    <xf numFmtId="0" fontId="0" fillId="0" borderId="35" xfId="0" quotePrefix="1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0" borderId="36" xfId="0" applyBorder="1"/>
    <xf numFmtId="0" fontId="7" fillId="0" borderId="30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3" xfId="0" applyFont="1" applyFill="1" applyBorder="1" applyAlignment="1">
      <alignment horizontal="left" indent="2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11" fontId="0" fillId="0" borderId="3" xfId="0" applyNumberFormat="1" applyBorder="1" applyAlignment="1">
      <alignment horizont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F13:H19" totalsRowShown="0" headerRowDxfId="13" headerRowBorderDxfId="12" tableBorderDxfId="11" totalsRowBorderDxfId="10">
  <autoFilter ref="F13:H19"/>
  <tableColumns count="3">
    <tableColumn id="1" name="Type" dataDxfId="9"/>
    <tableColumn id="2" name="Conc" dataDxfId="8"/>
    <tableColumn id="3" name="in t/h" dataDxfId="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F13:H19" totalsRowShown="0" headerRowDxfId="6" headerRowBorderDxfId="5" tableBorderDxfId="4" totalsRowBorderDxfId="3">
  <autoFilter ref="F13:H19"/>
  <tableColumns count="3">
    <tableColumn id="1" name="Type" dataDxfId="2"/>
    <tableColumn id="2" name="Conc" dataDxfId="1"/>
    <tableColumn id="3" name="in t/h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L18"/>
  <sheetViews>
    <sheetView workbookViewId="0">
      <selection activeCell="J16" sqref="J16"/>
    </sheetView>
  </sheetViews>
  <sheetFormatPr defaultRowHeight="15.75" x14ac:dyDescent="0.25"/>
  <cols>
    <col min="1" max="5" width="9.140625" style="1"/>
    <col min="6" max="6" width="19.140625" style="1" bestFit="1" customWidth="1"/>
    <col min="7" max="7" width="17" style="1" bestFit="1" customWidth="1"/>
    <col min="8" max="8" width="16.140625" style="1" bestFit="1" customWidth="1"/>
    <col min="9" max="9" width="19.42578125" style="1" bestFit="1" customWidth="1"/>
    <col min="10" max="10" width="11.42578125" style="1" customWidth="1"/>
    <col min="11" max="11" width="13.85546875" style="1" customWidth="1"/>
    <col min="12" max="12" width="24.7109375" style="1" bestFit="1" customWidth="1"/>
    <col min="13" max="16384" width="9.140625" style="1"/>
  </cols>
  <sheetData>
    <row r="4" spans="6:12" x14ac:dyDescent="0.25">
      <c r="F4" s="3" t="s">
        <v>0</v>
      </c>
      <c r="G4" s="3" t="s">
        <v>1</v>
      </c>
      <c r="H4" s="3" t="s">
        <v>2</v>
      </c>
      <c r="I4" s="3" t="s">
        <v>3</v>
      </c>
      <c r="J4" s="3" t="s">
        <v>4</v>
      </c>
      <c r="K4" s="3" t="s">
        <v>5</v>
      </c>
      <c r="L4" s="3" t="s">
        <v>6</v>
      </c>
    </row>
    <row r="5" spans="6:12" ht="16.5" thickBot="1" x14ac:dyDescent="0.3">
      <c r="F5" s="4" t="s">
        <v>7</v>
      </c>
      <c r="G5" s="4" t="s">
        <v>8</v>
      </c>
      <c r="H5" s="4" t="s">
        <v>17</v>
      </c>
      <c r="I5" s="4" t="s">
        <v>9</v>
      </c>
      <c r="J5" s="4" t="s">
        <v>10</v>
      </c>
      <c r="K5" s="4" t="s">
        <v>10</v>
      </c>
      <c r="L5" s="4" t="s">
        <v>11</v>
      </c>
    </row>
    <row r="6" spans="6:12" ht="16.5" thickTop="1" x14ac:dyDescent="0.25">
      <c r="F6" s="2">
        <v>1</v>
      </c>
      <c r="G6" s="2" t="s">
        <v>12</v>
      </c>
      <c r="H6" s="2" t="s">
        <v>16</v>
      </c>
      <c r="I6" s="2">
        <v>2000</v>
      </c>
      <c r="J6" s="2">
        <v>0</v>
      </c>
      <c r="K6" s="2">
        <v>100</v>
      </c>
      <c r="L6" s="2">
        <v>20</v>
      </c>
    </row>
    <row r="7" spans="6:12" x14ac:dyDescent="0.25">
      <c r="F7" s="2">
        <v>2</v>
      </c>
      <c r="G7" s="2" t="s">
        <v>13</v>
      </c>
      <c r="H7" s="2" t="s">
        <v>16</v>
      </c>
      <c r="I7" s="2">
        <v>5000</v>
      </c>
      <c r="J7" s="2">
        <v>50</v>
      </c>
      <c r="K7" s="2">
        <v>100</v>
      </c>
      <c r="L7" s="2">
        <v>100</v>
      </c>
    </row>
    <row r="8" spans="6:12" x14ac:dyDescent="0.25">
      <c r="F8" s="2">
        <v>3</v>
      </c>
      <c r="G8" s="2" t="s">
        <v>14</v>
      </c>
      <c r="H8" s="2" t="s">
        <v>16</v>
      </c>
      <c r="I8" s="2">
        <v>30000</v>
      </c>
      <c r="J8" s="2">
        <v>50</v>
      </c>
      <c r="K8" s="2">
        <v>800</v>
      </c>
      <c r="L8" s="2">
        <v>40</v>
      </c>
    </row>
    <row r="9" spans="6:12" x14ac:dyDescent="0.25">
      <c r="F9" s="2">
        <v>4</v>
      </c>
      <c r="G9" s="2" t="s">
        <v>15</v>
      </c>
      <c r="H9" s="2" t="s">
        <v>16</v>
      </c>
      <c r="I9" s="2">
        <v>4000</v>
      </c>
      <c r="J9" s="2">
        <v>400</v>
      </c>
      <c r="K9" s="2">
        <v>800</v>
      </c>
      <c r="L9" s="2">
        <v>10</v>
      </c>
    </row>
    <row r="10" spans="6:12" x14ac:dyDescent="0.25">
      <c r="F10" s="2"/>
      <c r="G10" s="2"/>
      <c r="H10" s="2"/>
      <c r="I10" s="2"/>
      <c r="J10" s="2"/>
      <c r="K10" s="2"/>
      <c r="L10" s="2"/>
    </row>
    <row r="11" spans="6:12" x14ac:dyDescent="0.25">
      <c r="F11" s="2"/>
      <c r="G11" s="2"/>
      <c r="H11" s="2"/>
      <c r="I11" s="2"/>
      <c r="J11" s="2"/>
      <c r="K11" s="2"/>
      <c r="L11" s="2"/>
    </row>
    <row r="12" spans="6:12" x14ac:dyDescent="0.25">
      <c r="F12" s="110" t="s">
        <v>18</v>
      </c>
      <c r="G12" s="110"/>
      <c r="H12" s="110"/>
      <c r="I12" s="110"/>
      <c r="J12" s="110"/>
      <c r="K12" s="110"/>
      <c r="L12" s="110"/>
    </row>
    <row r="13" spans="6:12" x14ac:dyDescent="0.25">
      <c r="F13" s="2"/>
      <c r="G13" s="2"/>
      <c r="H13" s="2"/>
      <c r="I13" s="2"/>
      <c r="J13" s="2"/>
      <c r="K13" s="2"/>
      <c r="L13" s="2"/>
    </row>
    <row r="14" spans="6:12" x14ac:dyDescent="0.25">
      <c r="F14" s="2"/>
      <c r="G14" s="2"/>
      <c r="H14" s="2"/>
      <c r="I14" s="2"/>
      <c r="J14" s="2"/>
      <c r="K14" s="2"/>
      <c r="L14" s="2"/>
    </row>
    <row r="15" spans="6:12" x14ac:dyDescent="0.25">
      <c r="F15" s="2"/>
      <c r="G15" s="2"/>
      <c r="H15" s="2"/>
      <c r="I15" s="2"/>
      <c r="J15" s="2"/>
      <c r="K15" s="2"/>
      <c r="L15" s="2"/>
    </row>
    <row r="16" spans="6:12" x14ac:dyDescent="0.25">
      <c r="F16" s="2"/>
      <c r="G16" s="2"/>
      <c r="H16" s="2"/>
      <c r="I16" s="2"/>
      <c r="J16" s="2"/>
      <c r="K16" s="2"/>
      <c r="L16" s="2"/>
    </row>
    <row r="17" spans="6:12" x14ac:dyDescent="0.25">
      <c r="F17" s="2"/>
      <c r="G17" s="2"/>
      <c r="H17" s="2"/>
      <c r="I17" s="2"/>
      <c r="J17" s="2"/>
      <c r="K17" s="2"/>
      <c r="L17" s="2"/>
    </row>
    <row r="18" spans="6:12" x14ac:dyDescent="0.25">
      <c r="F18" s="2"/>
      <c r="G18" s="2"/>
      <c r="H18" s="2"/>
      <c r="I18" s="2"/>
      <c r="J18" s="2"/>
      <c r="K18" s="2"/>
      <c r="L18" s="2"/>
    </row>
  </sheetData>
  <mergeCells count="1">
    <mergeCell ref="F12:L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L14"/>
  <sheetViews>
    <sheetView workbookViewId="0">
      <selection activeCell="F19" sqref="F19"/>
    </sheetView>
  </sheetViews>
  <sheetFormatPr defaultRowHeight="15" x14ac:dyDescent="0.25"/>
  <cols>
    <col min="6" max="6" width="19.140625" bestFit="1" customWidth="1"/>
    <col min="7" max="7" width="17" bestFit="1" customWidth="1"/>
    <col min="8" max="8" width="16.140625" bestFit="1" customWidth="1"/>
    <col min="9" max="9" width="19.42578125" bestFit="1" customWidth="1"/>
    <col min="10" max="10" width="8.7109375" customWidth="1"/>
    <col min="12" max="12" width="24.7109375" bestFit="1" customWidth="1"/>
  </cols>
  <sheetData>
    <row r="4" spans="6:12" ht="15.75" x14ac:dyDescent="0.25">
      <c r="F4" s="3" t="s">
        <v>0</v>
      </c>
      <c r="G4" s="3" t="s">
        <v>1</v>
      </c>
      <c r="H4" s="3" t="s">
        <v>2</v>
      </c>
      <c r="I4" s="3" t="s">
        <v>3</v>
      </c>
      <c r="J4" s="3" t="s">
        <v>4</v>
      </c>
      <c r="K4" s="3" t="s">
        <v>5</v>
      </c>
      <c r="L4" s="3" t="s">
        <v>6</v>
      </c>
    </row>
    <row r="5" spans="6:12" ht="16.5" thickBot="1" x14ac:dyDescent="0.3">
      <c r="F5" s="4" t="s">
        <v>7</v>
      </c>
      <c r="G5" s="4" t="s">
        <v>8</v>
      </c>
      <c r="H5" s="4" t="s">
        <v>17</v>
      </c>
      <c r="I5" s="4" t="s">
        <v>9</v>
      </c>
      <c r="J5" s="4" t="s">
        <v>10</v>
      </c>
      <c r="K5" s="4" t="s">
        <v>10</v>
      </c>
      <c r="L5" s="4" t="s">
        <v>11</v>
      </c>
    </row>
    <row r="6" spans="6:12" ht="16.5" thickTop="1" x14ac:dyDescent="0.25">
      <c r="F6" s="2">
        <v>1</v>
      </c>
      <c r="G6" s="2" t="s">
        <v>12</v>
      </c>
      <c r="H6" s="2" t="s">
        <v>16</v>
      </c>
      <c r="I6" s="2">
        <v>2000</v>
      </c>
      <c r="J6" s="2">
        <v>0</v>
      </c>
      <c r="K6" s="2">
        <v>100</v>
      </c>
      <c r="L6" s="2">
        <v>20</v>
      </c>
    </row>
    <row r="7" spans="6:12" ht="15.75" x14ac:dyDescent="0.25">
      <c r="F7" s="2">
        <v>2</v>
      </c>
      <c r="G7" s="2" t="s">
        <v>13</v>
      </c>
      <c r="H7" s="2" t="s">
        <v>16</v>
      </c>
      <c r="I7" s="2">
        <v>5000</v>
      </c>
      <c r="J7" s="2">
        <v>50</v>
      </c>
      <c r="K7" s="2">
        <v>100</v>
      </c>
      <c r="L7" s="2">
        <v>100</v>
      </c>
    </row>
    <row r="8" spans="6:12" ht="15.75" x14ac:dyDescent="0.25">
      <c r="F8" s="2">
        <v>3</v>
      </c>
      <c r="G8" s="2" t="s">
        <v>14</v>
      </c>
      <c r="H8" s="2" t="s">
        <v>16</v>
      </c>
      <c r="I8" s="2">
        <v>30000</v>
      </c>
      <c r="J8" s="2">
        <v>50</v>
      </c>
      <c r="K8" s="2">
        <v>800</v>
      </c>
      <c r="L8" s="2">
        <v>40</v>
      </c>
    </row>
    <row r="9" spans="6:12" ht="15.75" x14ac:dyDescent="0.25">
      <c r="F9" s="2"/>
      <c r="G9" s="2"/>
      <c r="H9" s="2"/>
      <c r="I9" s="2"/>
      <c r="J9" s="2"/>
      <c r="K9" s="2"/>
      <c r="L9" s="2"/>
    </row>
    <row r="11" spans="6:12" ht="15.75" x14ac:dyDescent="0.25">
      <c r="F11" s="110" t="s">
        <v>19</v>
      </c>
      <c r="G11" s="110"/>
      <c r="H11" s="110"/>
      <c r="I11" s="110"/>
      <c r="J11" s="110"/>
      <c r="K11" s="110"/>
      <c r="L11" s="110"/>
    </row>
    <row r="13" spans="6:12" ht="15.75" x14ac:dyDescent="0.25">
      <c r="F13" s="5" t="s">
        <v>20</v>
      </c>
      <c r="G13" s="5" t="s">
        <v>22</v>
      </c>
    </row>
    <row r="14" spans="6:12" ht="15.75" x14ac:dyDescent="0.25">
      <c r="F14" s="5" t="s">
        <v>21</v>
      </c>
      <c r="G14" s="5" t="s">
        <v>23</v>
      </c>
    </row>
  </sheetData>
  <mergeCells count="1">
    <mergeCell ref="F11:L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L15"/>
  <sheetViews>
    <sheetView workbookViewId="0">
      <selection activeCell="E18" sqref="E18"/>
    </sheetView>
  </sheetViews>
  <sheetFormatPr defaultRowHeight="15" x14ac:dyDescent="0.25"/>
  <cols>
    <col min="6" max="6" width="19.140625" bestFit="1" customWidth="1"/>
    <col min="7" max="7" width="17" bestFit="1" customWidth="1"/>
    <col min="8" max="8" width="16.140625" bestFit="1" customWidth="1"/>
    <col min="9" max="9" width="19.42578125" bestFit="1" customWidth="1"/>
    <col min="10" max="10" width="13" customWidth="1"/>
    <col min="11" max="11" width="11.140625" customWidth="1"/>
    <col min="12" max="12" width="24.7109375" bestFit="1" customWidth="1"/>
  </cols>
  <sheetData>
    <row r="4" spans="6:12" ht="15.75" x14ac:dyDescent="0.25">
      <c r="F4" s="3" t="s">
        <v>0</v>
      </c>
      <c r="G4" s="3" t="s">
        <v>1</v>
      </c>
      <c r="H4" s="3" t="s">
        <v>2</v>
      </c>
      <c r="I4" s="3" t="s">
        <v>3</v>
      </c>
      <c r="J4" s="3" t="s">
        <v>4</v>
      </c>
      <c r="K4" s="3" t="s">
        <v>5</v>
      </c>
      <c r="L4" s="3" t="s">
        <v>6</v>
      </c>
    </row>
    <row r="5" spans="6:12" ht="16.5" thickBot="1" x14ac:dyDescent="0.3">
      <c r="F5" s="4" t="s">
        <v>7</v>
      </c>
      <c r="G5" s="4" t="s">
        <v>8</v>
      </c>
      <c r="H5" s="4" t="s">
        <v>17</v>
      </c>
      <c r="I5" s="4" t="s">
        <v>9</v>
      </c>
      <c r="J5" s="4" t="s">
        <v>10</v>
      </c>
      <c r="K5" s="4" t="s">
        <v>10</v>
      </c>
      <c r="L5" s="4" t="s">
        <v>11</v>
      </c>
    </row>
    <row r="6" spans="6:12" ht="16.5" thickTop="1" x14ac:dyDescent="0.25">
      <c r="F6" s="2">
        <v>1</v>
      </c>
      <c r="G6" s="2" t="s">
        <v>12</v>
      </c>
      <c r="H6" s="2" t="s">
        <v>16</v>
      </c>
      <c r="I6" s="2">
        <v>2000</v>
      </c>
      <c r="J6" s="2">
        <v>0</v>
      </c>
      <c r="K6" s="2">
        <v>100</v>
      </c>
      <c r="L6" s="2">
        <v>20</v>
      </c>
    </row>
    <row r="7" spans="6:12" ht="15.75" x14ac:dyDescent="0.25">
      <c r="F7" s="2">
        <v>2</v>
      </c>
      <c r="G7" s="2" t="s">
        <v>13</v>
      </c>
      <c r="H7" s="2" t="s">
        <v>16</v>
      </c>
      <c r="I7" s="2">
        <v>5000</v>
      </c>
      <c r="J7" s="2">
        <v>50</v>
      </c>
      <c r="K7" s="2">
        <v>100</v>
      </c>
      <c r="L7" s="2">
        <v>100</v>
      </c>
    </row>
    <row r="8" spans="6:12" ht="15.75" x14ac:dyDescent="0.25">
      <c r="F8" s="2">
        <v>3</v>
      </c>
      <c r="G8" s="2" t="s">
        <v>14</v>
      </c>
      <c r="H8" s="2" t="s">
        <v>16</v>
      </c>
      <c r="I8" s="2">
        <v>30000</v>
      </c>
      <c r="J8" s="2">
        <v>100</v>
      </c>
      <c r="K8" s="2">
        <v>800</v>
      </c>
      <c r="L8" s="2">
        <v>40</v>
      </c>
    </row>
    <row r="11" spans="6:12" ht="15.75" x14ac:dyDescent="0.25">
      <c r="F11" s="110" t="s">
        <v>26</v>
      </c>
      <c r="G11" s="110"/>
      <c r="H11" s="110"/>
      <c r="I11" s="110"/>
      <c r="J11" s="110"/>
      <c r="K11" s="110"/>
      <c r="L11" s="110"/>
    </row>
    <row r="13" spans="6:12" ht="15.75" x14ac:dyDescent="0.25">
      <c r="F13" s="5" t="s">
        <v>20</v>
      </c>
      <c r="G13" s="5" t="s">
        <v>22</v>
      </c>
    </row>
    <row r="14" spans="6:12" ht="15.75" x14ac:dyDescent="0.25">
      <c r="F14" s="5" t="s">
        <v>21</v>
      </c>
      <c r="G14" s="5" t="s">
        <v>23</v>
      </c>
    </row>
    <row r="15" spans="6:12" ht="15.75" x14ac:dyDescent="0.25">
      <c r="F15" s="5" t="s">
        <v>24</v>
      </c>
      <c r="G15" s="5" t="s">
        <v>25</v>
      </c>
    </row>
  </sheetData>
  <mergeCells count="1">
    <mergeCell ref="F11:L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L19"/>
  <sheetViews>
    <sheetView workbookViewId="0">
      <selection activeCell="C15" sqref="C15"/>
    </sheetView>
  </sheetViews>
  <sheetFormatPr defaultRowHeight="15" x14ac:dyDescent="0.25"/>
  <cols>
    <col min="6" max="6" width="19.140625" bestFit="1" customWidth="1"/>
    <col min="7" max="7" width="17" bestFit="1" customWidth="1"/>
    <col min="8" max="8" width="16.140625" bestFit="1" customWidth="1"/>
    <col min="9" max="9" width="19.42578125" bestFit="1" customWidth="1"/>
    <col min="10" max="10" width="11.42578125" customWidth="1"/>
    <col min="11" max="11" width="13.140625" customWidth="1"/>
    <col min="12" max="12" width="24.7109375" bestFit="1" customWidth="1"/>
  </cols>
  <sheetData>
    <row r="4" spans="6:12" ht="15.75" x14ac:dyDescent="0.25">
      <c r="F4" s="3" t="s">
        <v>0</v>
      </c>
      <c r="G4" s="3" t="s">
        <v>1</v>
      </c>
      <c r="H4" s="3" t="s">
        <v>2</v>
      </c>
      <c r="I4" s="3" t="s">
        <v>3</v>
      </c>
      <c r="J4" s="3" t="s">
        <v>4</v>
      </c>
      <c r="K4" s="3" t="s">
        <v>5</v>
      </c>
      <c r="L4" s="3" t="s">
        <v>6</v>
      </c>
    </row>
    <row r="5" spans="6:12" ht="16.5" thickBot="1" x14ac:dyDescent="0.3">
      <c r="F5" s="4" t="s">
        <v>7</v>
      </c>
      <c r="G5" s="4" t="s">
        <v>8</v>
      </c>
      <c r="H5" s="4" t="s">
        <v>17</v>
      </c>
      <c r="I5" s="4" t="s">
        <v>9</v>
      </c>
      <c r="J5" s="4" t="s">
        <v>10</v>
      </c>
      <c r="K5" s="4" t="s">
        <v>10</v>
      </c>
      <c r="L5" s="4" t="s">
        <v>11</v>
      </c>
    </row>
    <row r="6" spans="6:12" ht="16.5" thickTop="1" x14ac:dyDescent="0.25">
      <c r="F6" s="2">
        <v>1</v>
      </c>
      <c r="G6" s="2" t="s">
        <v>12</v>
      </c>
      <c r="H6" s="2" t="s">
        <v>16</v>
      </c>
      <c r="I6" s="2">
        <v>2000</v>
      </c>
      <c r="J6" s="2">
        <v>0</v>
      </c>
      <c r="K6" s="2">
        <v>100</v>
      </c>
      <c r="L6" s="2">
        <v>20</v>
      </c>
    </row>
    <row r="7" spans="6:12" ht="15.75" x14ac:dyDescent="0.25">
      <c r="F7" s="2">
        <v>2</v>
      </c>
      <c r="G7" s="2" t="s">
        <v>13</v>
      </c>
      <c r="H7" s="2" t="s">
        <v>16</v>
      </c>
      <c r="I7" s="2">
        <v>5000</v>
      </c>
      <c r="J7" s="2">
        <v>50</v>
      </c>
      <c r="K7" s="2">
        <v>100</v>
      </c>
      <c r="L7" s="2">
        <v>100</v>
      </c>
    </row>
    <row r="8" spans="6:12" ht="15.75" x14ac:dyDescent="0.25">
      <c r="F8" s="2">
        <v>3</v>
      </c>
      <c r="G8" s="2" t="s">
        <v>14</v>
      </c>
      <c r="H8" s="2" t="s">
        <v>16</v>
      </c>
      <c r="I8" s="2">
        <v>30000</v>
      </c>
      <c r="J8" s="2">
        <v>100</v>
      </c>
      <c r="K8" s="2">
        <v>800</v>
      </c>
      <c r="L8" s="2">
        <v>40</v>
      </c>
    </row>
    <row r="11" spans="6:12" ht="15.75" x14ac:dyDescent="0.25">
      <c r="F11" s="110" t="s">
        <v>36</v>
      </c>
      <c r="G11" s="110"/>
      <c r="H11" s="110"/>
      <c r="I11" s="110"/>
      <c r="J11" s="110"/>
      <c r="K11" s="110"/>
      <c r="L11" s="110"/>
    </row>
    <row r="13" spans="6:12" ht="15.75" x14ac:dyDescent="0.25">
      <c r="F13" s="8" t="s">
        <v>35</v>
      </c>
      <c r="G13" s="9" t="s">
        <v>34</v>
      </c>
      <c r="H13" s="10" t="s">
        <v>33</v>
      </c>
    </row>
    <row r="14" spans="6:12" ht="15.75" x14ac:dyDescent="0.25">
      <c r="F14" s="7" t="s">
        <v>20</v>
      </c>
      <c r="G14" s="6" t="s">
        <v>22</v>
      </c>
      <c r="H14" s="6">
        <v>20</v>
      </c>
    </row>
    <row r="15" spans="6:12" ht="15.75" x14ac:dyDescent="0.25">
      <c r="F15" s="7" t="s">
        <v>21</v>
      </c>
      <c r="G15" s="6" t="s">
        <v>23</v>
      </c>
      <c r="H15" s="6">
        <v>0</v>
      </c>
    </row>
    <row r="16" spans="6:12" ht="15.75" x14ac:dyDescent="0.25">
      <c r="F16" s="7" t="s">
        <v>24</v>
      </c>
      <c r="G16" s="6" t="s">
        <v>30</v>
      </c>
      <c r="H16" s="6">
        <v>100</v>
      </c>
    </row>
    <row r="17" spans="6:8" ht="15.75" x14ac:dyDescent="0.25">
      <c r="F17" s="7" t="s">
        <v>27</v>
      </c>
      <c r="G17" s="6" t="s">
        <v>25</v>
      </c>
      <c r="H17" s="6">
        <v>0</v>
      </c>
    </row>
    <row r="18" spans="6:8" ht="15.75" x14ac:dyDescent="0.25">
      <c r="F18" s="7" t="s">
        <v>28</v>
      </c>
      <c r="G18" s="6" t="s">
        <v>31</v>
      </c>
      <c r="H18" s="6">
        <v>42.857142857142897</v>
      </c>
    </row>
    <row r="19" spans="6:8" ht="15.75" x14ac:dyDescent="0.25">
      <c r="F19" s="11" t="s">
        <v>29</v>
      </c>
      <c r="G19" s="12" t="s">
        <v>32</v>
      </c>
      <c r="H19" s="12">
        <v>0</v>
      </c>
    </row>
  </sheetData>
  <mergeCells count="1">
    <mergeCell ref="F11:L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L19"/>
  <sheetViews>
    <sheetView workbookViewId="0">
      <selection activeCell="L17" sqref="L17"/>
    </sheetView>
  </sheetViews>
  <sheetFormatPr defaultRowHeight="15" x14ac:dyDescent="0.25"/>
  <cols>
    <col min="6" max="6" width="19.140625" bestFit="1" customWidth="1"/>
    <col min="7" max="7" width="17" bestFit="1" customWidth="1"/>
    <col min="8" max="8" width="16.140625" bestFit="1" customWidth="1"/>
    <col min="9" max="9" width="19.42578125" bestFit="1" customWidth="1"/>
    <col min="10" max="10" width="11.28515625" customWidth="1"/>
    <col min="11" max="11" width="13.28515625" customWidth="1"/>
    <col min="12" max="12" width="24.7109375" bestFit="1" customWidth="1"/>
  </cols>
  <sheetData>
    <row r="4" spans="6:12" ht="15.75" x14ac:dyDescent="0.25">
      <c r="F4" s="3" t="s">
        <v>0</v>
      </c>
      <c r="G4" s="3" t="s">
        <v>1</v>
      </c>
      <c r="H4" s="3" t="s">
        <v>2</v>
      </c>
      <c r="I4" s="3" t="s">
        <v>3</v>
      </c>
      <c r="J4" s="3" t="s">
        <v>4</v>
      </c>
      <c r="K4" s="3" t="s">
        <v>5</v>
      </c>
      <c r="L4" s="3" t="s">
        <v>6</v>
      </c>
    </row>
    <row r="5" spans="6:12" ht="16.5" thickBot="1" x14ac:dyDescent="0.3">
      <c r="F5" s="4" t="s">
        <v>7</v>
      </c>
      <c r="G5" s="4" t="s">
        <v>8</v>
      </c>
      <c r="H5" s="4" t="s">
        <v>17</v>
      </c>
      <c r="I5" s="4" t="s">
        <v>9</v>
      </c>
      <c r="J5" s="4" t="s">
        <v>10</v>
      </c>
      <c r="K5" s="4" t="s">
        <v>10</v>
      </c>
      <c r="L5" s="4" t="s">
        <v>11</v>
      </c>
    </row>
    <row r="6" spans="6:12" ht="16.5" thickTop="1" x14ac:dyDescent="0.25">
      <c r="F6" s="2">
        <v>1</v>
      </c>
      <c r="G6" s="2" t="s">
        <v>12</v>
      </c>
      <c r="H6" s="2" t="s">
        <v>16</v>
      </c>
      <c r="I6" s="2">
        <v>2000</v>
      </c>
      <c r="J6" s="2">
        <v>0</v>
      </c>
      <c r="K6" s="2">
        <v>100</v>
      </c>
      <c r="L6" s="2">
        <v>20</v>
      </c>
    </row>
    <row r="7" spans="6:12" ht="15.75" x14ac:dyDescent="0.25">
      <c r="F7" s="2">
        <v>2</v>
      </c>
      <c r="G7" s="2" t="s">
        <v>13</v>
      </c>
      <c r="H7" s="2" t="s">
        <v>16</v>
      </c>
      <c r="I7" s="2">
        <v>5000</v>
      </c>
      <c r="J7" s="2">
        <v>50</v>
      </c>
      <c r="K7" s="2">
        <v>100</v>
      </c>
      <c r="L7" s="2">
        <v>100</v>
      </c>
    </row>
    <row r="8" spans="6:12" ht="15.75" x14ac:dyDescent="0.25">
      <c r="F8" s="2">
        <v>3</v>
      </c>
      <c r="G8" s="2" t="s">
        <v>14</v>
      </c>
      <c r="H8" s="2" t="s">
        <v>37</v>
      </c>
      <c r="I8" s="2">
        <v>30000</v>
      </c>
      <c r="J8" s="2">
        <v>100</v>
      </c>
      <c r="K8" s="2">
        <v>800</v>
      </c>
      <c r="L8" s="2">
        <v>40</v>
      </c>
    </row>
    <row r="11" spans="6:12" ht="15.75" x14ac:dyDescent="0.25">
      <c r="F11" s="110" t="s">
        <v>36</v>
      </c>
      <c r="G11" s="110"/>
      <c r="H11" s="110"/>
      <c r="I11" s="110"/>
      <c r="J11" s="110"/>
      <c r="K11" s="110"/>
      <c r="L11" s="110"/>
    </row>
    <row r="13" spans="6:12" ht="15.75" x14ac:dyDescent="0.25">
      <c r="F13" s="8" t="s">
        <v>35</v>
      </c>
      <c r="G13" s="9" t="s">
        <v>34</v>
      </c>
      <c r="H13" s="10" t="s">
        <v>33</v>
      </c>
    </row>
    <row r="14" spans="6:12" ht="15.75" x14ac:dyDescent="0.25">
      <c r="F14" s="7" t="s">
        <v>20</v>
      </c>
      <c r="G14" s="6" t="s">
        <v>22</v>
      </c>
      <c r="H14" s="6">
        <v>20</v>
      </c>
    </row>
    <row r="15" spans="6:12" ht="15.75" x14ac:dyDescent="0.25">
      <c r="F15" s="7" t="s">
        <v>21</v>
      </c>
      <c r="G15" s="6" t="s">
        <v>23</v>
      </c>
      <c r="H15" s="6">
        <v>0</v>
      </c>
    </row>
    <row r="16" spans="6:12" ht="15.75" x14ac:dyDescent="0.25">
      <c r="F16" s="7" t="s">
        <v>24</v>
      </c>
      <c r="G16" s="6" t="s">
        <v>30</v>
      </c>
      <c r="H16" s="6">
        <v>100</v>
      </c>
    </row>
    <row r="17" spans="6:8" ht="15.75" x14ac:dyDescent="0.25">
      <c r="F17" s="7" t="s">
        <v>27</v>
      </c>
      <c r="G17" s="6" t="s">
        <v>25</v>
      </c>
      <c r="H17" s="6">
        <v>0</v>
      </c>
    </row>
    <row r="18" spans="6:8" ht="15.75" x14ac:dyDescent="0.25">
      <c r="F18" s="7" t="s">
        <v>28</v>
      </c>
      <c r="G18" s="6" t="s">
        <v>31</v>
      </c>
      <c r="H18" s="6">
        <v>40</v>
      </c>
    </row>
    <row r="19" spans="6:8" ht="15.75" x14ac:dyDescent="0.25">
      <c r="F19" s="11" t="s">
        <v>29</v>
      </c>
      <c r="G19" s="12" t="s">
        <v>32</v>
      </c>
      <c r="H19" s="12">
        <v>0</v>
      </c>
    </row>
  </sheetData>
  <mergeCells count="1">
    <mergeCell ref="F11:L1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3"/>
  <sheetViews>
    <sheetView topLeftCell="C4" workbookViewId="0">
      <selection activeCell="F18" sqref="F18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8.8554687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38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45</v>
      </c>
      <c r="I9" s="15" t="s">
        <v>10</v>
      </c>
      <c r="J9" s="15"/>
      <c r="K9" s="15" t="s">
        <v>7</v>
      </c>
      <c r="L9" s="15" t="s">
        <v>8</v>
      </c>
      <c r="M9" s="15" t="s">
        <v>45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46</v>
      </c>
      <c r="H11" s="13">
        <v>1.2</v>
      </c>
      <c r="I11" s="13">
        <v>0</v>
      </c>
      <c r="J11" s="13"/>
      <c r="K11" s="13">
        <v>1</v>
      </c>
      <c r="L11" s="13" t="s">
        <v>48</v>
      </c>
      <c r="M11" s="13">
        <v>0.8</v>
      </c>
      <c r="N11" s="13">
        <v>0</v>
      </c>
    </row>
    <row r="12" spans="6:14" x14ac:dyDescent="0.25">
      <c r="F12" s="13">
        <v>2</v>
      </c>
      <c r="G12" s="13" t="s">
        <v>47</v>
      </c>
      <c r="H12" s="13">
        <v>5.8</v>
      </c>
      <c r="I12" s="13">
        <v>10</v>
      </c>
      <c r="J12" s="13"/>
      <c r="K12" s="13">
        <v>2</v>
      </c>
      <c r="L12" s="13" t="s">
        <v>49</v>
      </c>
      <c r="M12" s="13">
        <v>5</v>
      </c>
      <c r="N12" s="13">
        <v>14</v>
      </c>
    </row>
    <row r="13" spans="6:14" x14ac:dyDescent="0.25">
      <c r="F13" s="13"/>
      <c r="G13" s="13"/>
      <c r="H13" s="13"/>
      <c r="I13" s="13"/>
      <c r="J13" s="13"/>
      <c r="K13" s="13">
        <v>3</v>
      </c>
      <c r="L13" s="13" t="s">
        <v>50</v>
      </c>
      <c r="M13" s="13">
        <v>5.9</v>
      </c>
      <c r="N13" s="13">
        <v>25</v>
      </c>
    </row>
    <row r="14" spans="6:14" x14ac:dyDescent="0.25">
      <c r="F14" s="13"/>
      <c r="G14" s="13"/>
      <c r="H14" s="13"/>
      <c r="I14" s="13"/>
      <c r="J14" s="13"/>
      <c r="K14" s="13">
        <v>4</v>
      </c>
      <c r="L14" s="13" t="s">
        <v>51</v>
      </c>
      <c r="M14" s="13">
        <v>1.4</v>
      </c>
      <c r="N14" s="13">
        <v>34</v>
      </c>
    </row>
    <row r="15" spans="6:14" x14ac:dyDescent="0.25">
      <c r="F15" s="13"/>
      <c r="G15" s="13"/>
      <c r="H15" s="13"/>
      <c r="I15" s="13"/>
      <c r="J15" s="13"/>
      <c r="K15" s="13"/>
      <c r="L15" s="13"/>
      <c r="M15" s="13"/>
      <c r="N15" s="13"/>
    </row>
    <row r="16" spans="6:14" x14ac:dyDescent="0.25">
      <c r="F16" s="13"/>
      <c r="G16" s="13"/>
      <c r="H16" s="13"/>
      <c r="I16" s="13"/>
      <c r="J16" s="13"/>
      <c r="K16" s="13"/>
      <c r="L16" s="13"/>
      <c r="M16" s="13"/>
      <c r="N16" s="13"/>
    </row>
    <row r="17" spans="6:14" ht="15.75" x14ac:dyDescent="0.25">
      <c r="F17" s="110" t="s">
        <v>52</v>
      </c>
      <c r="G17" s="110"/>
      <c r="H17" s="110"/>
      <c r="I17" s="110"/>
      <c r="J17" s="110"/>
      <c r="K17" s="110"/>
      <c r="L17" s="110"/>
      <c r="M17" s="110"/>
      <c r="N17" s="110"/>
    </row>
    <row r="18" spans="6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6:14" x14ac:dyDescent="0.25">
      <c r="F19" s="13"/>
      <c r="G19" s="13"/>
      <c r="H19" s="13"/>
      <c r="I19" s="13"/>
      <c r="J19" s="13"/>
      <c r="K19" s="13"/>
      <c r="L19" s="13"/>
      <c r="M19" s="13"/>
      <c r="N19" s="13"/>
    </row>
    <row r="20" spans="6:14" x14ac:dyDescent="0.25">
      <c r="F20" s="13"/>
      <c r="G20" s="13"/>
      <c r="H20" s="17" t="s">
        <v>53</v>
      </c>
      <c r="I20" s="17">
        <v>1</v>
      </c>
      <c r="J20" s="17"/>
      <c r="K20" s="13"/>
      <c r="L20" s="13"/>
      <c r="M20" s="13"/>
      <c r="N20" s="13"/>
    </row>
    <row r="21" spans="6:14" x14ac:dyDescent="0.25">
      <c r="F21" s="13"/>
      <c r="G21" s="13"/>
      <c r="H21" s="17" t="s">
        <v>54</v>
      </c>
      <c r="I21" s="17">
        <v>14</v>
      </c>
      <c r="J21" s="17" t="s">
        <v>10</v>
      </c>
      <c r="K21" s="13"/>
      <c r="L21" s="13"/>
      <c r="M21" s="13"/>
      <c r="N21" s="13"/>
    </row>
    <row r="22" spans="6:14" x14ac:dyDescent="0.25">
      <c r="F22" s="13"/>
      <c r="G22" s="13"/>
      <c r="H22" s="17" t="s">
        <v>56</v>
      </c>
      <c r="I22" s="17">
        <v>2.0569999999999999</v>
      </c>
      <c r="J22" s="17" t="s">
        <v>45</v>
      </c>
      <c r="K22" s="13"/>
      <c r="L22" s="13"/>
      <c r="M22" s="13"/>
      <c r="N22" s="13"/>
    </row>
    <row r="23" spans="6:14" x14ac:dyDescent="0.25">
      <c r="H23" s="17" t="s">
        <v>55</v>
      </c>
      <c r="I23" s="17">
        <v>8.157</v>
      </c>
      <c r="J23" s="17" t="s">
        <v>45</v>
      </c>
    </row>
  </sheetData>
  <mergeCells count="4">
    <mergeCell ref="F6:I6"/>
    <mergeCell ref="K6:N6"/>
    <mergeCell ref="F4:N4"/>
    <mergeCell ref="F17:N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4"/>
  <sheetViews>
    <sheetView workbookViewId="0">
      <selection activeCell="D17" sqref="D17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2" max="12" width="18.8554687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59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45</v>
      </c>
      <c r="I9" s="15" t="s">
        <v>10</v>
      </c>
      <c r="J9" s="15"/>
      <c r="K9" s="15" t="s">
        <v>7</v>
      </c>
      <c r="L9" s="15" t="s">
        <v>8</v>
      </c>
      <c r="M9" s="15" t="s">
        <v>45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46</v>
      </c>
      <c r="H11" s="13">
        <v>1.2</v>
      </c>
      <c r="I11" s="13">
        <v>0</v>
      </c>
      <c r="J11" s="13"/>
      <c r="K11" s="13">
        <v>1</v>
      </c>
      <c r="L11" s="13" t="s">
        <v>48</v>
      </c>
      <c r="M11" s="13">
        <v>0.8</v>
      </c>
      <c r="N11" s="13">
        <v>0</v>
      </c>
    </row>
    <row r="12" spans="6:14" x14ac:dyDescent="0.25">
      <c r="F12" s="13">
        <v>2</v>
      </c>
      <c r="G12" s="13" t="s">
        <v>47</v>
      </c>
      <c r="H12" s="13">
        <v>5.8</v>
      </c>
      <c r="I12" s="13">
        <v>10</v>
      </c>
      <c r="J12" s="13"/>
      <c r="K12" s="13">
        <v>2</v>
      </c>
      <c r="L12" s="13" t="s">
        <v>49</v>
      </c>
      <c r="M12" s="13">
        <v>5</v>
      </c>
      <c r="N12" s="13">
        <v>11.6</v>
      </c>
    </row>
    <row r="13" spans="6:14" x14ac:dyDescent="0.25">
      <c r="F13" s="13"/>
      <c r="G13" s="13"/>
      <c r="H13" s="13"/>
      <c r="I13" s="13"/>
      <c r="J13" s="13"/>
      <c r="K13" s="13">
        <v>3</v>
      </c>
      <c r="L13" s="13" t="s">
        <v>50</v>
      </c>
      <c r="M13" s="13">
        <v>5.9</v>
      </c>
      <c r="N13" s="13">
        <v>25</v>
      </c>
    </row>
    <row r="14" spans="6:14" x14ac:dyDescent="0.25">
      <c r="F14" s="13"/>
      <c r="G14" s="13"/>
      <c r="H14" s="13"/>
      <c r="I14" s="13"/>
      <c r="J14" s="13"/>
      <c r="K14" s="13">
        <v>4</v>
      </c>
      <c r="L14" s="13" t="s">
        <v>51</v>
      </c>
      <c r="M14" s="13">
        <v>1.4</v>
      </c>
      <c r="N14" s="13">
        <v>34</v>
      </c>
    </row>
    <row r="18" spans="6:14" ht="15.75" x14ac:dyDescent="0.25">
      <c r="F18" s="110" t="s">
        <v>52</v>
      </c>
      <c r="G18" s="110"/>
      <c r="H18" s="110"/>
      <c r="I18" s="110"/>
      <c r="J18" s="110"/>
      <c r="K18" s="110"/>
      <c r="L18" s="110"/>
      <c r="M18" s="110"/>
      <c r="N18" s="110"/>
    </row>
    <row r="19" spans="6:14" x14ac:dyDescent="0.25">
      <c r="F19" s="13"/>
      <c r="G19" s="13"/>
      <c r="H19" s="13"/>
      <c r="I19" s="13"/>
      <c r="J19" s="13"/>
      <c r="K19" s="13"/>
      <c r="L19" s="13"/>
      <c r="M19" s="13"/>
      <c r="N19" s="13"/>
    </row>
    <row r="20" spans="6:14" x14ac:dyDescent="0.25">
      <c r="F20" s="13"/>
      <c r="G20" s="13"/>
      <c r="H20" s="13"/>
      <c r="I20" s="13"/>
      <c r="J20" s="13"/>
      <c r="K20" s="13"/>
      <c r="L20" s="13"/>
      <c r="M20" s="13"/>
      <c r="N20" s="13" t="s">
        <v>58</v>
      </c>
    </row>
    <row r="21" spans="6:14" x14ac:dyDescent="0.25">
      <c r="F21" s="13"/>
      <c r="G21" s="13"/>
      <c r="H21" s="17" t="s">
        <v>53</v>
      </c>
      <c r="I21" s="17">
        <v>2</v>
      </c>
      <c r="J21" s="17"/>
      <c r="K21" s="13"/>
      <c r="L21" s="13"/>
      <c r="M21" s="13"/>
      <c r="N21" s="13"/>
    </row>
    <row r="22" spans="6:14" x14ac:dyDescent="0.25">
      <c r="F22" s="13"/>
      <c r="G22" s="13"/>
      <c r="H22" s="17" t="s">
        <v>54</v>
      </c>
      <c r="I22" s="17" t="s">
        <v>57</v>
      </c>
      <c r="J22" s="17" t="s">
        <v>10</v>
      </c>
      <c r="K22" s="13"/>
      <c r="L22" s="13"/>
      <c r="M22" s="13"/>
      <c r="N22" s="13"/>
    </row>
    <row r="23" spans="6:14" x14ac:dyDescent="0.25">
      <c r="F23" s="13"/>
      <c r="G23" s="13"/>
      <c r="H23" s="17" t="s">
        <v>56</v>
      </c>
      <c r="I23" s="17">
        <v>1.2</v>
      </c>
      <c r="J23" s="17" t="s">
        <v>45</v>
      </c>
      <c r="K23" s="13"/>
      <c r="L23" s="13"/>
      <c r="M23" s="13"/>
      <c r="N23" s="13"/>
    </row>
    <row r="24" spans="6:14" x14ac:dyDescent="0.25">
      <c r="H24" s="17" t="s">
        <v>55</v>
      </c>
      <c r="I24" s="17">
        <v>7.3</v>
      </c>
      <c r="J24" s="17" t="s">
        <v>45</v>
      </c>
    </row>
  </sheetData>
  <mergeCells count="4">
    <mergeCell ref="F4:N4"/>
    <mergeCell ref="F6:I6"/>
    <mergeCell ref="K6:N6"/>
    <mergeCell ref="F18:N1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3"/>
  <sheetViews>
    <sheetView workbookViewId="0">
      <selection activeCell="D12" sqref="D12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8.8554687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60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45</v>
      </c>
      <c r="I9" s="15" t="s">
        <v>10</v>
      </c>
      <c r="J9" s="15"/>
      <c r="K9" s="15" t="s">
        <v>7</v>
      </c>
      <c r="L9" s="15" t="s">
        <v>8</v>
      </c>
      <c r="M9" s="15" t="s">
        <v>45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47</v>
      </c>
      <c r="H11" s="13">
        <v>5.8</v>
      </c>
      <c r="I11" s="13">
        <v>10</v>
      </c>
      <c r="J11" s="13"/>
      <c r="K11" s="13">
        <v>1</v>
      </c>
      <c r="L11" s="13" t="s">
        <v>48</v>
      </c>
      <c r="M11" s="13">
        <v>0.8</v>
      </c>
      <c r="N11" s="13">
        <v>0</v>
      </c>
    </row>
    <row r="12" spans="6:14" x14ac:dyDescent="0.25">
      <c r="J12" s="13"/>
      <c r="K12" s="13">
        <v>2</v>
      </c>
      <c r="L12" s="13" t="s">
        <v>49</v>
      </c>
      <c r="M12" s="13">
        <v>5</v>
      </c>
      <c r="N12" s="13">
        <v>11.6</v>
      </c>
    </row>
    <row r="13" spans="6:14" x14ac:dyDescent="0.25">
      <c r="F13" s="13"/>
      <c r="G13" s="13"/>
      <c r="H13" s="13"/>
      <c r="I13" s="13"/>
      <c r="J13" s="13"/>
      <c r="K13" s="13">
        <v>3</v>
      </c>
      <c r="L13" s="13" t="s">
        <v>50</v>
      </c>
      <c r="M13" s="13">
        <v>5.9</v>
      </c>
      <c r="N13" s="13">
        <v>25</v>
      </c>
    </row>
    <row r="14" spans="6:14" x14ac:dyDescent="0.25">
      <c r="F14" s="13"/>
      <c r="G14" s="13"/>
      <c r="H14" s="13"/>
      <c r="I14" s="13"/>
      <c r="J14" s="13"/>
      <c r="K14" s="13"/>
      <c r="L14" s="13"/>
      <c r="M14" s="13"/>
      <c r="N14" s="13"/>
    </row>
    <row r="17" spans="6:14" ht="15.75" x14ac:dyDescent="0.25">
      <c r="F17" s="110" t="s">
        <v>52</v>
      </c>
      <c r="G17" s="110"/>
      <c r="H17" s="110"/>
      <c r="I17" s="110"/>
      <c r="J17" s="110"/>
      <c r="K17" s="110"/>
      <c r="L17" s="110"/>
      <c r="M17" s="110"/>
      <c r="N17" s="110"/>
    </row>
    <row r="18" spans="6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6:14" x14ac:dyDescent="0.25">
      <c r="F19" s="13"/>
      <c r="G19" s="13"/>
      <c r="H19" s="13"/>
      <c r="I19" s="13"/>
      <c r="J19" s="13"/>
      <c r="K19" s="13"/>
      <c r="L19" s="13"/>
      <c r="M19" s="13"/>
      <c r="N19" s="13" t="s">
        <v>58</v>
      </c>
    </row>
    <row r="20" spans="6:14" x14ac:dyDescent="0.25">
      <c r="F20" s="13"/>
      <c r="G20" s="13"/>
      <c r="H20" s="17" t="s">
        <v>53</v>
      </c>
      <c r="I20" s="17">
        <v>2</v>
      </c>
      <c r="J20" s="17"/>
      <c r="K20" s="13"/>
      <c r="L20" s="13"/>
      <c r="M20" s="13"/>
      <c r="N20" s="13"/>
    </row>
    <row r="21" spans="6:14" x14ac:dyDescent="0.25">
      <c r="F21" s="13"/>
      <c r="G21" s="13"/>
      <c r="H21" s="17" t="s">
        <v>54</v>
      </c>
      <c r="I21" s="17" t="s">
        <v>57</v>
      </c>
      <c r="J21" s="17" t="s">
        <v>10</v>
      </c>
      <c r="K21" s="13"/>
      <c r="L21" s="13"/>
      <c r="M21" s="13"/>
      <c r="N21" s="13"/>
    </row>
    <row r="22" spans="6:14" x14ac:dyDescent="0.25">
      <c r="F22" s="13"/>
      <c r="G22" s="13"/>
      <c r="H22" s="17" t="s">
        <v>56</v>
      </c>
      <c r="I22" s="17">
        <v>0</v>
      </c>
      <c r="J22" s="17" t="s">
        <v>45</v>
      </c>
      <c r="K22" s="13"/>
      <c r="L22" s="13"/>
      <c r="M22" s="13"/>
      <c r="N22" s="13"/>
    </row>
    <row r="23" spans="6:14" x14ac:dyDescent="0.25">
      <c r="H23" s="17" t="s">
        <v>55</v>
      </c>
      <c r="I23" s="17">
        <v>5.9</v>
      </c>
      <c r="J23" s="17" t="s">
        <v>45</v>
      </c>
    </row>
  </sheetData>
  <mergeCells count="4">
    <mergeCell ref="F4:N4"/>
    <mergeCell ref="F6:I6"/>
    <mergeCell ref="K6:N6"/>
    <mergeCell ref="F17:N1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5"/>
  <sheetViews>
    <sheetView topLeftCell="A13" workbookViewId="0">
      <selection activeCell="F19" sqref="F19:N19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8.8554687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61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62</v>
      </c>
      <c r="H11" s="13">
        <v>120</v>
      </c>
      <c r="I11" s="13">
        <v>0</v>
      </c>
      <c r="J11" s="13"/>
      <c r="K11" s="13">
        <v>1</v>
      </c>
      <c r="L11" s="13" t="s">
        <v>62</v>
      </c>
      <c r="M11" s="13">
        <v>120</v>
      </c>
      <c r="N11" s="13">
        <v>100</v>
      </c>
    </row>
    <row r="12" spans="6:14" x14ac:dyDescent="0.25">
      <c r="F12" s="13">
        <v>2</v>
      </c>
      <c r="G12" s="13" t="s">
        <v>63</v>
      </c>
      <c r="H12" s="13">
        <v>80</v>
      </c>
      <c r="I12" s="13">
        <v>50</v>
      </c>
      <c r="J12" s="13"/>
      <c r="K12" s="13">
        <v>2</v>
      </c>
      <c r="L12" s="13" t="s">
        <v>63</v>
      </c>
      <c r="M12" s="13">
        <v>80</v>
      </c>
      <c r="N12" s="13">
        <v>140</v>
      </c>
    </row>
    <row r="13" spans="6:14" x14ac:dyDescent="0.25">
      <c r="F13" s="13">
        <v>3</v>
      </c>
      <c r="G13" s="13" t="s">
        <v>64</v>
      </c>
      <c r="H13" s="13">
        <v>80</v>
      </c>
      <c r="I13" s="13">
        <v>50</v>
      </c>
      <c r="J13" s="13"/>
      <c r="K13" s="13">
        <v>3</v>
      </c>
      <c r="L13" s="13" t="s">
        <v>65</v>
      </c>
      <c r="M13" s="13">
        <v>140</v>
      </c>
      <c r="N13" s="13">
        <v>180</v>
      </c>
    </row>
    <row r="14" spans="6:14" x14ac:dyDescent="0.25">
      <c r="F14" s="13">
        <v>4</v>
      </c>
      <c r="G14" s="13" t="s">
        <v>65</v>
      </c>
      <c r="H14" s="13">
        <v>140</v>
      </c>
      <c r="I14" s="13">
        <v>140</v>
      </c>
      <c r="J14" s="13"/>
      <c r="K14" s="13">
        <v>4</v>
      </c>
      <c r="L14" s="13" t="s">
        <v>66</v>
      </c>
      <c r="M14" s="13">
        <v>80</v>
      </c>
      <c r="N14" s="13">
        <v>230</v>
      </c>
    </row>
    <row r="15" spans="6:14" x14ac:dyDescent="0.25">
      <c r="F15" s="13">
        <v>5</v>
      </c>
      <c r="G15" s="13" t="s">
        <v>66</v>
      </c>
      <c r="H15" s="13">
        <v>80</v>
      </c>
      <c r="I15" s="13">
        <v>170</v>
      </c>
      <c r="K15" s="13">
        <v>5</v>
      </c>
      <c r="L15" s="13" t="s">
        <v>67</v>
      </c>
      <c r="M15" s="13">
        <v>195</v>
      </c>
      <c r="N15" s="13">
        <v>250</v>
      </c>
    </row>
    <row r="16" spans="6:14" x14ac:dyDescent="0.25">
      <c r="F16" s="13">
        <v>6</v>
      </c>
      <c r="G16" s="13" t="s">
        <v>67</v>
      </c>
      <c r="H16" s="13">
        <v>195</v>
      </c>
      <c r="I16" s="13">
        <v>240</v>
      </c>
    </row>
    <row r="19" spans="6:14" ht="15.75" x14ac:dyDescent="0.25">
      <c r="F19" s="110" t="s">
        <v>52</v>
      </c>
      <c r="G19" s="110"/>
      <c r="H19" s="110"/>
      <c r="I19" s="110"/>
      <c r="J19" s="110"/>
      <c r="K19" s="110"/>
      <c r="L19" s="110"/>
      <c r="M19" s="110"/>
      <c r="N19" s="110"/>
    </row>
    <row r="20" spans="6:14" x14ac:dyDescent="0.25">
      <c r="F20" s="13"/>
      <c r="G20" s="13"/>
      <c r="H20" s="13"/>
      <c r="I20" s="13"/>
      <c r="J20" s="13"/>
      <c r="K20" s="13"/>
      <c r="L20" s="13"/>
      <c r="M20" s="13"/>
      <c r="N20" s="13"/>
    </row>
    <row r="21" spans="6:14" x14ac:dyDescent="0.25">
      <c r="F21" s="13"/>
      <c r="G21" s="13"/>
      <c r="H21" s="13"/>
      <c r="I21" s="13"/>
      <c r="J21" s="13"/>
      <c r="K21" s="13"/>
      <c r="L21" s="13"/>
      <c r="M21" s="13"/>
      <c r="N21" s="13" t="s">
        <v>58</v>
      </c>
    </row>
    <row r="22" spans="6:14" x14ac:dyDescent="0.25">
      <c r="F22" s="13"/>
      <c r="G22" s="13"/>
      <c r="H22" s="17" t="s">
        <v>53</v>
      </c>
      <c r="I22" s="17">
        <v>2</v>
      </c>
      <c r="J22" s="17"/>
      <c r="K22" s="13"/>
      <c r="L22" s="13"/>
      <c r="M22" s="13"/>
      <c r="N22" s="13"/>
    </row>
    <row r="23" spans="6:14" x14ac:dyDescent="0.25">
      <c r="F23" s="13"/>
      <c r="G23" s="13"/>
      <c r="H23" s="17" t="s">
        <v>54</v>
      </c>
      <c r="I23" s="17" t="s">
        <v>68</v>
      </c>
      <c r="J23" s="17" t="s">
        <v>10</v>
      </c>
      <c r="K23" s="13"/>
      <c r="L23" s="13"/>
      <c r="M23" s="13"/>
      <c r="N23" s="13"/>
    </row>
    <row r="24" spans="6:14" x14ac:dyDescent="0.25">
      <c r="F24" s="13"/>
      <c r="G24" s="13"/>
      <c r="H24" s="17" t="s">
        <v>56</v>
      </c>
      <c r="I24" s="17">
        <v>200</v>
      </c>
      <c r="J24" s="17" t="s">
        <v>11</v>
      </c>
      <c r="K24" s="13"/>
      <c r="L24" s="13"/>
      <c r="M24" s="13"/>
      <c r="N24" s="13"/>
    </row>
    <row r="25" spans="6:14" x14ac:dyDescent="0.25">
      <c r="H25" s="17" t="s">
        <v>55</v>
      </c>
      <c r="I25" s="17">
        <v>120</v>
      </c>
      <c r="J25" s="17" t="s">
        <v>11</v>
      </c>
    </row>
  </sheetData>
  <mergeCells count="4">
    <mergeCell ref="F4:N4"/>
    <mergeCell ref="F6:I6"/>
    <mergeCell ref="K6:N6"/>
    <mergeCell ref="F19:N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4"/>
  <sheetViews>
    <sheetView workbookViewId="0">
      <selection activeCell="D18" sqref="D18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20.5703125" customWidth="1"/>
  </cols>
  <sheetData>
    <row r="4" spans="6:14" ht="15.75" thickBot="1" x14ac:dyDescent="0.3">
      <c r="F4" s="111" t="s">
        <v>69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62</v>
      </c>
      <c r="H11" s="13">
        <v>20</v>
      </c>
      <c r="I11" s="13">
        <v>0</v>
      </c>
      <c r="J11" s="13"/>
      <c r="K11" s="13">
        <v>1</v>
      </c>
      <c r="L11" s="13" t="s">
        <v>62</v>
      </c>
      <c r="M11" s="13">
        <v>20</v>
      </c>
      <c r="N11" s="13">
        <v>100</v>
      </c>
    </row>
    <row r="12" spans="6:14" x14ac:dyDescent="0.25">
      <c r="F12" s="13">
        <v>2</v>
      </c>
      <c r="G12" s="13" t="s">
        <v>63</v>
      </c>
      <c r="H12" s="13">
        <v>100</v>
      </c>
      <c r="I12" s="13">
        <v>50</v>
      </c>
      <c r="J12" s="13"/>
      <c r="K12" s="13">
        <v>2</v>
      </c>
      <c r="L12" s="13" t="s">
        <v>63</v>
      </c>
      <c r="M12" s="13">
        <v>100</v>
      </c>
      <c r="N12" s="13">
        <v>100</v>
      </c>
    </row>
    <row r="13" spans="6:14" x14ac:dyDescent="0.25">
      <c r="F13" s="13">
        <v>3</v>
      </c>
      <c r="G13" s="13" t="s">
        <v>64</v>
      </c>
      <c r="H13" s="13">
        <v>40</v>
      </c>
      <c r="I13" s="13">
        <v>50</v>
      </c>
      <c r="J13" s="13"/>
      <c r="K13" s="13">
        <v>3</v>
      </c>
      <c r="L13" s="13" t="s">
        <v>64</v>
      </c>
      <c r="M13" s="13">
        <v>40</v>
      </c>
      <c r="N13" s="13">
        <v>800</v>
      </c>
    </row>
    <row r="14" spans="6:14" x14ac:dyDescent="0.25">
      <c r="F14" s="13">
        <v>4</v>
      </c>
      <c r="G14" s="13" t="s">
        <v>65</v>
      </c>
      <c r="H14" s="13">
        <v>10</v>
      </c>
      <c r="I14" s="13">
        <v>400</v>
      </c>
      <c r="J14" s="13"/>
      <c r="K14" s="13">
        <v>4</v>
      </c>
      <c r="L14" s="13" t="s">
        <v>65</v>
      </c>
      <c r="M14" s="13">
        <v>10</v>
      </c>
      <c r="N14" s="13">
        <v>800</v>
      </c>
    </row>
    <row r="15" spans="6:14" x14ac:dyDescent="0.25">
      <c r="F15" s="13"/>
      <c r="G15" s="13"/>
      <c r="H15" s="13"/>
      <c r="I15" s="13"/>
      <c r="K15" s="13"/>
      <c r="L15" s="13"/>
      <c r="M15" s="13"/>
      <c r="N15" s="13"/>
    </row>
    <row r="17" spans="6:14" ht="15.75" x14ac:dyDescent="0.25">
      <c r="F17" s="110" t="s">
        <v>52</v>
      </c>
      <c r="G17" s="110"/>
      <c r="H17" s="110"/>
      <c r="I17" s="110"/>
      <c r="J17" s="110"/>
      <c r="K17" s="110"/>
      <c r="L17" s="110"/>
      <c r="M17" s="110"/>
      <c r="N17" s="110"/>
    </row>
    <row r="18" spans="6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6:14" ht="15" customHeight="1" x14ac:dyDescent="0.25">
      <c r="F19" s="13"/>
      <c r="G19" s="13"/>
      <c r="H19" s="13"/>
      <c r="I19" s="13"/>
      <c r="J19" s="13"/>
      <c r="K19" s="13"/>
      <c r="L19" s="112" t="s">
        <v>58</v>
      </c>
      <c r="M19" s="13"/>
    </row>
    <row r="20" spans="6:14" x14ac:dyDescent="0.25">
      <c r="F20" s="13"/>
      <c r="G20" s="13"/>
      <c r="H20" s="17" t="s">
        <v>53</v>
      </c>
      <c r="I20" s="17">
        <v>1</v>
      </c>
      <c r="J20" s="17"/>
      <c r="K20" s="13"/>
      <c r="L20" s="112"/>
      <c r="M20" s="13"/>
      <c r="N20" s="13"/>
    </row>
    <row r="21" spans="6:14" x14ac:dyDescent="0.25">
      <c r="F21" s="13"/>
      <c r="G21" s="13"/>
      <c r="H21" s="17" t="s">
        <v>54</v>
      </c>
      <c r="I21" s="17">
        <v>100</v>
      </c>
      <c r="J21" s="17" t="s">
        <v>10</v>
      </c>
      <c r="K21" s="13"/>
      <c r="L21" s="112"/>
      <c r="M21" s="13"/>
      <c r="N21" s="13"/>
    </row>
    <row r="22" spans="6:14" x14ac:dyDescent="0.25">
      <c r="F22" s="13"/>
      <c r="G22" s="13"/>
      <c r="H22" s="17" t="s">
        <v>56</v>
      </c>
      <c r="I22" s="17">
        <v>90</v>
      </c>
      <c r="J22" s="17" t="s">
        <v>11</v>
      </c>
      <c r="K22" s="13"/>
      <c r="L22" s="112"/>
      <c r="M22" s="13"/>
      <c r="N22" s="13"/>
    </row>
    <row r="23" spans="6:14" x14ac:dyDescent="0.25">
      <c r="H23" s="17" t="s">
        <v>55</v>
      </c>
      <c r="I23" s="17">
        <v>90</v>
      </c>
      <c r="J23" s="17" t="s">
        <v>11</v>
      </c>
      <c r="L23" s="112"/>
    </row>
    <row r="24" spans="6:14" x14ac:dyDescent="0.25">
      <c r="L24" s="112"/>
    </row>
  </sheetData>
  <mergeCells count="5">
    <mergeCell ref="F4:N4"/>
    <mergeCell ref="F6:I6"/>
    <mergeCell ref="K6:N6"/>
    <mergeCell ref="F17:N17"/>
    <mergeCell ref="L19:L2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5"/>
  <sheetViews>
    <sheetView workbookViewId="0">
      <selection activeCell="P15" sqref="P15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9.28515625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70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62</v>
      </c>
      <c r="H11" s="13">
        <v>36.363599999999998</v>
      </c>
      <c r="I11" s="13">
        <v>25</v>
      </c>
      <c r="J11" s="13"/>
      <c r="K11" s="13">
        <v>1</v>
      </c>
      <c r="L11" s="13" t="s">
        <v>62</v>
      </c>
      <c r="M11" s="13">
        <v>36.363599999999998</v>
      </c>
      <c r="N11" s="13">
        <v>80</v>
      </c>
    </row>
    <row r="12" spans="6:14" x14ac:dyDescent="0.25">
      <c r="F12" s="13">
        <v>2</v>
      </c>
      <c r="G12" s="13" t="s">
        <v>63</v>
      </c>
      <c r="H12" s="13">
        <v>66.666700000000006</v>
      </c>
      <c r="I12" s="13">
        <v>25</v>
      </c>
      <c r="J12" s="13"/>
      <c r="K12" s="13">
        <v>2</v>
      </c>
      <c r="L12" s="13" t="s">
        <v>63</v>
      </c>
      <c r="M12" s="13">
        <v>66.666700000000006</v>
      </c>
      <c r="N12" s="13">
        <v>100</v>
      </c>
    </row>
    <row r="13" spans="6:14" x14ac:dyDescent="0.25">
      <c r="F13" s="13">
        <v>3</v>
      </c>
      <c r="G13" s="13" t="s">
        <v>64</v>
      </c>
      <c r="H13" s="13">
        <v>22.857099999999999</v>
      </c>
      <c r="I13" s="13">
        <v>25</v>
      </c>
      <c r="J13" s="13"/>
      <c r="K13" s="13">
        <v>3</v>
      </c>
      <c r="L13" s="13" t="s">
        <v>64</v>
      </c>
      <c r="M13" s="13">
        <v>22.857099999999999</v>
      </c>
      <c r="N13" s="13">
        <v>200</v>
      </c>
    </row>
    <row r="14" spans="6:14" x14ac:dyDescent="0.25">
      <c r="F14" s="13">
        <v>4</v>
      </c>
      <c r="G14" s="13" t="s">
        <v>65</v>
      </c>
      <c r="H14" s="13">
        <v>100</v>
      </c>
      <c r="I14" s="13">
        <v>50</v>
      </c>
      <c r="J14" s="13"/>
      <c r="K14" s="13">
        <v>4</v>
      </c>
      <c r="L14" s="13" t="s">
        <v>65</v>
      </c>
      <c r="M14" s="13">
        <v>100</v>
      </c>
      <c r="N14" s="13">
        <v>100</v>
      </c>
    </row>
    <row r="15" spans="6:14" x14ac:dyDescent="0.25">
      <c r="F15" s="13">
        <v>5</v>
      </c>
      <c r="G15" s="13" t="s">
        <v>66</v>
      </c>
      <c r="H15" s="13">
        <v>40</v>
      </c>
      <c r="I15" s="13">
        <v>50</v>
      </c>
      <c r="K15" s="13">
        <v>5</v>
      </c>
      <c r="L15" s="13" t="s">
        <v>66</v>
      </c>
      <c r="M15" s="13">
        <v>40</v>
      </c>
      <c r="N15" s="13">
        <v>800</v>
      </c>
    </row>
    <row r="16" spans="6:14" x14ac:dyDescent="0.25">
      <c r="F16" s="13">
        <v>6</v>
      </c>
      <c r="G16" s="13" t="s">
        <v>67</v>
      </c>
      <c r="H16" s="13">
        <v>10</v>
      </c>
      <c r="I16" s="13">
        <v>400</v>
      </c>
      <c r="K16" s="13">
        <v>6</v>
      </c>
      <c r="L16" s="13" t="s">
        <v>67</v>
      </c>
      <c r="M16" s="13">
        <v>10</v>
      </c>
      <c r="N16" s="13">
        <v>800</v>
      </c>
    </row>
    <row r="18" spans="6:14" ht="15.75" x14ac:dyDescent="0.25">
      <c r="F18" s="110" t="s">
        <v>52</v>
      </c>
      <c r="G18" s="110"/>
      <c r="H18" s="110"/>
      <c r="I18" s="110"/>
      <c r="J18" s="110"/>
      <c r="K18" s="110"/>
      <c r="L18" s="110"/>
      <c r="M18" s="110"/>
      <c r="N18" s="110"/>
    </row>
    <row r="19" spans="6:14" x14ac:dyDescent="0.25">
      <c r="F19" s="13"/>
      <c r="G19" s="13"/>
      <c r="H19" s="13"/>
      <c r="I19" s="13"/>
      <c r="J19" s="13"/>
      <c r="K19" s="13"/>
      <c r="L19" s="13"/>
      <c r="M19" s="13"/>
      <c r="N19" s="13"/>
    </row>
    <row r="20" spans="6:14" x14ac:dyDescent="0.25">
      <c r="F20" s="13"/>
      <c r="G20" s="13"/>
      <c r="H20" s="13"/>
      <c r="I20" s="13"/>
      <c r="J20" s="13"/>
      <c r="K20" s="13"/>
      <c r="L20" s="113" t="s">
        <v>58</v>
      </c>
      <c r="M20" s="13"/>
    </row>
    <row r="21" spans="6:14" x14ac:dyDescent="0.25">
      <c r="F21" s="13"/>
      <c r="G21" s="13"/>
      <c r="H21" s="17" t="s">
        <v>53</v>
      </c>
      <c r="I21" s="17">
        <v>1</v>
      </c>
      <c r="J21" s="17"/>
      <c r="K21" s="13"/>
      <c r="L21" s="113"/>
      <c r="M21" s="13"/>
      <c r="N21" s="13"/>
    </row>
    <row r="22" spans="6:14" x14ac:dyDescent="0.25">
      <c r="F22" s="13"/>
      <c r="G22" s="13"/>
      <c r="H22" s="17" t="s">
        <v>54</v>
      </c>
      <c r="I22" s="17">
        <v>100</v>
      </c>
      <c r="J22" s="17" t="s">
        <v>10</v>
      </c>
      <c r="K22" s="13"/>
      <c r="L22" s="113"/>
      <c r="M22" s="13"/>
      <c r="N22" s="13"/>
    </row>
    <row r="23" spans="6:14" x14ac:dyDescent="0.25">
      <c r="F23" s="13"/>
      <c r="G23" s="13"/>
      <c r="H23" s="17" t="s">
        <v>56</v>
      </c>
      <c r="I23" s="17">
        <v>157.143</v>
      </c>
      <c r="J23" s="17" t="s">
        <v>11</v>
      </c>
      <c r="K23" s="13"/>
      <c r="L23" s="113"/>
      <c r="M23" s="13"/>
      <c r="N23" s="13"/>
    </row>
    <row r="24" spans="6:14" x14ac:dyDescent="0.25">
      <c r="H24" s="17" t="s">
        <v>55</v>
      </c>
      <c r="I24" s="17">
        <v>157.143</v>
      </c>
      <c r="J24" s="17" t="s">
        <v>11</v>
      </c>
      <c r="L24" s="113"/>
    </row>
    <row r="25" spans="6:14" x14ac:dyDescent="0.25">
      <c r="L25" s="113"/>
    </row>
  </sheetData>
  <mergeCells count="5">
    <mergeCell ref="F4:N4"/>
    <mergeCell ref="F6:I6"/>
    <mergeCell ref="K6:N6"/>
    <mergeCell ref="F18:N18"/>
    <mergeCell ref="L20:L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4"/>
  <sheetViews>
    <sheetView workbookViewId="0">
      <selection activeCell="G28" sqref="G28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71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62</v>
      </c>
      <c r="H11" s="13">
        <v>50</v>
      </c>
      <c r="I11" s="13">
        <v>20</v>
      </c>
      <c r="J11" s="13"/>
      <c r="K11" s="13">
        <v>1</v>
      </c>
      <c r="L11" s="13" t="s">
        <v>62</v>
      </c>
      <c r="M11" s="13">
        <v>50</v>
      </c>
      <c r="N11" s="13">
        <v>50</v>
      </c>
    </row>
    <row r="12" spans="6:14" x14ac:dyDescent="0.25">
      <c r="F12" s="13">
        <v>2</v>
      </c>
      <c r="G12" s="13" t="s">
        <v>63</v>
      </c>
      <c r="H12" s="13">
        <v>100</v>
      </c>
      <c r="I12" s="13">
        <v>50</v>
      </c>
      <c r="J12" s="13"/>
      <c r="K12" s="13">
        <v>2</v>
      </c>
      <c r="L12" s="13" t="s">
        <v>63</v>
      </c>
      <c r="M12" s="13">
        <v>100</v>
      </c>
      <c r="N12" s="13">
        <v>100</v>
      </c>
    </row>
    <row r="13" spans="6:14" x14ac:dyDescent="0.25">
      <c r="F13" s="13">
        <v>3</v>
      </c>
      <c r="G13" s="13" t="s">
        <v>64</v>
      </c>
      <c r="H13" s="13">
        <v>80</v>
      </c>
      <c r="I13" s="13">
        <v>100</v>
      </c>
      <c r="J13" s="13"/>
      <c r="K13" s="13">
        <v>3</v>
      </c>
      <c r="L13" s="13" t="s">
        <v>64</v>
      </c>
      <c r="M13" s="13">
        <v>70</v>
      </c>
      <c r="N13" s="13">
        <v>150</v>
      </c>
    </row>
    <row r="14" spans="6:14" x14ac:dyDescent="0.25">
      <c r="F14" s="13">
        <v>4</v>
      </c>
      <c r="G14" s="13" t="s">
        <v>65</v>
      </c>
      <c r="H14" s="13">
        <v>70</v>
      </c>
      <c r="I14" s="13">
        <v>200</v>
      </c>
      <c r="J14" s="13"/>
      <c r="K14" s="13">
        <v>4</v>
      </c>
      <c r="L14" s="13" t="s">
        <v>65</v>
      </c>
      <c r="M14" s="13">
        <v>60</v>
      </c>
      <c r="N14" s="13">
        <v>250</v>
      </c>
    </row>
    <row r="15" spans="6:14" x14ac:dyDescent="0.25">
      <c r="F15" s="13"/>
      <c r="G15" s="13"/>
      <c r="H15" s="13"/>
      <c r="I15" s="13"/>
      <c r="K15" s="13"/>
      <c r="L15" s="13"/>
      <c r="M15" s="13"/>
      <c r="N15" s="13"/>
    </row>
    <row r="16" spans="6:14" x14ac:dyDescent="0.25">
      <c r="F16" s="13"/>
      <c r="G16" s="13"/>
      <c r="H16" s="13"/>
      <c r="I16" s="13"/>
      <c r="K16" s="13"/>
      <c r="L16" s="13"/>
      <c r="M16" s="13"/>
      <c r="N16" s="13"/>
    </row>
    <row r="17" spans="6:14" ht="15.75" x14ac:dyDescent="0.25">
      <c r="F17" s="110" t="s">
        <v>52</v>
      </c>
      <c r="G17" s="110"/>
      <c r="H17" s="110"/>
      <c r="I17" s="110"/>
      <c r="J17" s="110"/>
      <c r="K17" s="110"/>
      <c r="L17" s="110"/>
      <c r="M17" s="110"/>
      <c r="N17" s="110"/>
    </row>
    <row r="18" spans="6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6:14" x14ac:dyDescent="0.25">
      <c r="F19" s="13"/>
      <c r="G19" s="13"/>
      <c r="H19" s="13"/>
      <c r="I19" s="13"/>
      <c r="J19" s="13"/>
      <c r="K19" s="13"/>
      <c r="L19" s="113" t="s">
        <v>58</v>
      </c>
      <c r="M19" s="13"/>
    </row>
    <row r="20" spans="6:14" x14ac:dyDescent="0.25">
      <c r="F20" s="13"/>
      <c r="G20" s="13"/>
      <c r="H20" s="17" t="s">
        <v>53</v>
      </c>
      <c r="I20" s="17">
        <v>1</v>
      </c>
      <c r="J20" s="17"/>
      <c r="K20" s="13"/>
      <c r="L20" s="113"/>
      <c r="M20" s="13"/>
      <c r="N20" s="13"/>
    </row>
    <row r="21" spans="6:14" x14ac:dyDescent="0.25">
      <c r="F21" s="13"/>
      <c r="G21" s="13"/>
      <c r="H21" s="17" t="s">
        <v>54</v>
      </c>
      <c r="I21" s="17">
        <v>150</v>
      </c>
      <c r="J21" s="17" t="s">
        <v>10</v>
      </c>
      <c r="K21" s="13"/>
      <c r="L21" s="113"/>
      <c r="M21" s="13"/>
      <c r="N21" s="13"/>
    </row>
    <row r="22" spans="6:14" x14ac:dyDescent="0.25">
      <c r="F22" s="13"/>
      <c r="G22" s="13"/>
      <c r="H22" s="17" t="s">
        <v>56</v>
      </c>
      <c r="I22" s="17">
        <v>70</v>
      </c>
      <c r="J22" s="17" t="s">
        <v>11</v>
      </c>
      <c r="K22" s="13"/>
      <c r="L22" s="113"/>
      <c r="M22" s="13"/>
      <c r="N22" s="13"/>
    </row>
    <row r="23" spans="6:14" x14ac:dyDescent="0.25">
      <c r="H23" s="17" t="s">
        <v>55</v>
      </c>
      <c r="I23" s="17">
        <v>50</v>
      </c>
      <c r="J23" s="17" t="s">
        <v>11</v>
      </c>
      <c r="L23" s="113"/>
    </row>
    <row r="24" spans="6:14" x14ac:dyDescent="0.25">
      <c r="L24" s="113"/>
    </row>
  </sheetData>
  <mergeCells count="5">
    <mergeCell ref="F4:N4"/>
    <mergeCell ref="F6:I6"/>
    <mergeCell ref="K6:N6"/>
    <mergeCell ref="F17:N17"/>
    <mergeCell ref="L19:L2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24"/>
  <sheetViews>
    <sheetView topLeftCell="B4" workbookViewId="0">
      <selection activeCell="N22" sqref="N22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1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72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3">
        <v>1</v>
      </c>
      <c r="G11" s="13" t="s">
        <v>62</v>
      </c>
      <c r="H11" s="13">
        <v>80</v>
      </c>
      <c r="I11" s="13">
        <v>100</v>
      </c>
      <c r="J11" s="13"/>
      <c r="K11" s="13">
        <v>1</v>
      </c>
      <c r="L11" s="13" t="s">
        <v>62</v>
      </c>
      <c r="M11" s="13">
        <v>20</v>
      </c>
      <c r="N11" s="13">
        <v>1000</v>
      </c>
    </row>
    <row r="12" spans="6:14" x14ac:dyDescent="0.25">
      <c r="F12" s="13">
        <v>2</v>
      </c>
      <c r="G12" s="13" t="s">
        <v>63</v>
      </c>
      <c r="H12" s="13">
        <v>50</v>
      </c>
      <c r="I12" s="13">
        <v>200</v>
      </c>
      <c r="J12" s="13"/>
      <c r="K12" s="13">
        <v>2</v>
      </c>
      <c r="L12" s="13" t="s">
        <v>63</v>
      </c>
      <c r="M12" s="13">
        <v>50</v>
      </c>
      <c r="N12" s="13">
        <v>700</v>
      </c>
    </row>
    <row r="13" spans="6:14" x14ac:dyDescent="0.25">
      <c r="F13" s="13">
        <v>3</v>
      </c>
      <c r="G13" s="13" t="s">
        <v>64</v>
      </c>
      <c r="H13" s="13">
        <v>10</v>
      </c>
      <c r="I13" s="13">
        <v>0</v>
      </c>
      <c r="J13" s="13"/>
      <c r="K13" s="13">
        <v>3</v>
      </c>
      <c r="L13" s="13" t="s">
        <v>64</v>
      </c>
      <c r="M13" s="13">
        <v>40</v>
      </c>
      <c r="N13" s="13">
        <v>100</v>
      </c>
    </row>
    <row r="14" spans="6:14" x14ac:dyDescent="0.25">
      <c r="F14" s="13">
        <v>4</v>
      </c>
      <c r="G14" s="13" t="s">
        <v>65</v>
      </c>
      <c r="H14" s="13">
        <v>10</v>
      </c>
      <c r="I14" s="13">
        <v>0</v>
      </c>
      <c r="J14" s="13"/>
      <c r="K14" s="13">
        <v>4</v>
      </c>
      <c r="L14" s="13" t="s">
        <v>65</v>
      </c>
      <c r="M14" s="13">
        <v>10</v>
      </c>
      <c r="N14" s="13">
        <v>10</v>
      </c>
    </row>
    <row r="15" spans="6:14" x14ac:dyDescent="0.25">
      <c r="F15" s="13">
        <v>5</v>
      </c>
      <c r="G15" s="13" t="s">
        <v>66</v>
      </c>
      <c r="H15" s="13">
        <v>15</v>
      </c>
      <c r="I15" s="13">
        <v>10</v>
      </c>
      <c r="K15" s="13">
        <v>5</v>
      </c>
      <c r="L15" s="13" t="s">
        <v>66</v>
      </c>
      <c r="M15" s="13">
        <v>5</v>
      </c>
      <c r="N15" s="13">
        <v>100</v>
      </c>
    </row>
    <row r="17" spans="6:14" ht="15.75" x14ac:dyDescent="0.25">
      <c r="F17" s="110" t="s">
        <v>52</v>
      </c>
      <c r="G17" s="110"/>
      <c r="H17" s="110"/>
      <c r="I17" s="110"/>
      <c r="J17" s="110"/>
      <c r="K17" s="110"/>
      <c r="L17" s="110"/>
      <c r="M17" s="110"/>
      <c r="N17" s="110"/>
    </row>
    <row r="18" spans="6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6:14" x14ac:dyDescent="0.25">
      <c r="F19" s="13"/>
      <c r="G19" s="13"/>
      <c r="H19" s="13"/>
      <c r="I19" s="13"/>
      <c r="J19" s="13"/>
      <c r="K19" s="13"/>
      <c r="L19" s="113" t="s">
        <v>58</v>
      </c>
      <c r="M19" s="13"/>
    </row>
    <row r="20" spans="6:14" x14ac:dyDescent="0.25">
      <c r="F20" s="13"/>
      <c r="G20" s="13"/>
      <c r="H20" s="17" t="s">
        <v>53</v>
      </c>
      <c r="I20" s="17">
        <v>1</v>
      </c>
      <c r="J20" s="17"/>
      <c r="K20" s="13"/>
      <c r="L20" s="113"/>
      <c r="M20" s="13"/>
      <c r="N20" s="13"/>
    </row>
    <row r="21" spans="6:14" x14ac:dyDescent="0.25">
      <c r="F21" s="13"/>
      <c r="G21" s="13"/>
      <c r="H21" s="17" t="s">
        <v>54</v>
      </c>
      <c r="I21" s="17">
        <v>700</v>
      </c>
      <c r="J21" s="17" t="s">
        <v>10</v>
      </c>
      <c r="K21" s="13"/>
      <c r="L21" s="113"/>
      <c r="M21" s="13"/>
      <c r="N21" s="13"/>
    </row>
    <row r="22" spans="6:14" x14ac:dyDescent="0.25">
      <c r="F22" s="13"/>
      <c r="G22" s="13"/>
      <c r="H22" s="17" t="s">
        <v>56</v>
      </c>
      <c r="I22" s="17">
        <v>90.64</v>
      </c>
      <c r="J22" s="17" t="s">
        <v>11</v>
      </c>
      <c r="K22" s="13"/>
      <c r="L22" s="113"/>
      <c r="M22" s="13"/>
      <c r="N22" s="13"/>
    </row>
    <row r="23" spans="6:14" x14ac:dyDescent="0.25">
      <c r="H23" s="17" t="s">
        <v>55</v>
      </c>
      <c r="I23" s="17">
        <v>50.64</v>
      </c>
      <c r="J23" s="17" t="s">
        <v>11</v>
      </c>
      <c r="L23" s="113"/>
    </row>
    <row r="24" spans="6:14" x14ac:dyDescent="0.25">
      <c r="L24" s="113"/>
    </row>
  </sheetData>
  <mergeCells count="5">
    <mergeCell ref="F4:N4"/>
    <mergeCell ref="F6:I6"/>
    <mergeCell ref="K6:N6"/>
    <mergeCell ref="F17:N17"/>
    <mergeCell ref="L19:L2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S25"/>
  <sheetViews>
    <sheetView workbookViewId="0">
      <selection activeCell="G22" sqref="G22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  <col min="17" max="17" width="18.140625" bestFit="1" customWidth="1"/>
  </cols>
  <sheetData>
    <row r="4" spans="6:18" ht="15.75" thickBot="1" x14ac:dyDescent="0.3">
      <c r="F4" s="111" t="s">
        <v>72</v>
      </c>
      <c r="G4" s="111"/>
      <c r="H4" s="111"/>
      <c r="I4" s="111"/>
      <c r="J4" s="111"/>
      <c r="K4" s="111"/>
      <c r="L4" s="111"/>
      <c r="M4" s="111"/>
      <c r="N4" s="111"/>
    </row>
    <row r="5" spans="6:18" ht="15.75" thickTop="1" x14ac:dyDescent="0.25"/>
    <row r="6" spans="6:18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8" ht="15.75" thickTop="1" x14ac:dyDescent="0.25"/>
    <row r="8" spans="6:18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8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8" ht="15.75" thickTop="1" x14ac:dyDescent="0.25"/>
    <row r="11" spans="6:18" x14ac:dyDescent="0.25">
      <c r="F11" s="13">
        <v>1</v>
      </c>
      <c r="G11" s="13" t="s">
        <v>62</v>
      </c>
      <c r="H11" s="13">
        <v>50</v>
      </c>
      <c r="I11" s="13">
        <v>20</v>
      </c>
      <c r="J11" s="13"/>
      <c r="K11" s="13">
        <v>1</v>
      </c>
      <c r="L11" s="13" t="s">
        <v>63</v>
      </c>
      <c r="M11" s="13">
        <v>50</v>
      </c>
      <c r="N11" s="13">
        <v>50</v>
      </c>
      <c r="Q11" s="18"/>
      <c r="R11" s="18"/>
    </row>
    <row r="12" spans="6:18" x14ac:dyDescent="0.25">
      <c r="F12" s="13">
        <v>2</v>
      </c>
      <c r="G12" s="13" t="s">
        <v>63</v>
      </c>
      <c r="H12" s="13">
        <v>100</v>
      </c>
      <c r="I12" s="13">
        <v>50</v>
      </c>
      <c r="J12" s="13"/>
      <c r="K12" s="13">
        <v>2</v>
      </c>
      <c r="L12" s="13" t="s">
        <v>64</v>
      </c>
      <c r="M12" s="13">
        <v>100</v>
      </c>
      <c r="N12" s="13">
        <v>100</v>
      </c>
      <c r="Q12" s="18"/>
      <c r="R12" s="18"/>
    </row>
    <row r="13" spans="6:18" x14ac:dyDescent="0.25">
      <c r="F13" s="13">
        <v>3</v>
      </c>
      <c r="G13" s="13" t="s">
        <v>64</v>
      </c>
      <c r="H13" s="13">
        <v>80</v>
      </c>
      <c r="I13" s="13">
        <v>100</v>
      </c>
      <c r="J13" s="13"/>
      <c r="K13" s="13">
        <v>3</v>
      </c>
      <c r="L13" s="13" t="s">
        <v>66</v>
      </c>
      <c r="M13" s="13">
        <v>70</v>
      </c>
      <c r="N13" s="13">
        <v>150</v>
      </c>
      <c r="Q13" s="18"/>
      <c r="R13" s="18"/>
    </row>
    <row r="14" spans="6:18" x14ac:dyDescent="0.25">
      <c r="F14" s="13">
        <v>4</v>
      </c>
      <c r="G14" s="13" t="s">
        <v>65</v>
      </c>
      <c r="H14" s="13">
        <v>70</v>
      </c>
      <c r="I14" s="13">
        <v>200</v>
      </c>
      <c r="J14" s="13"/>
      <c r="K14" s="13">
        <v>4</v>
      </c>
      <c r="L14" s="13" t="s">
        <v>67</v>
      </c>
      <c r="M14" s="13">
        <v>60</v>
      </c>
      <c r="N14" s="13">
        <v>250</v>
      </c>
      <c r="Q14" s="19"/>
      <c r="R14" s="19"/>
    </row>
    <row r="15" spans="6:18" x14ac:dyDescent="0.25">
      <c r="F15" s="13"/>
      <c r="G15" s="13"/>
      <c r="H15" s="13"/>
      <c r="I15" s="13"/>
      <c r="K15" s="13"/>
      <c r="L15" s="13"/>
      <c r="M15" s="13"/>
      <c r="N15" s="13"/>
    </row>
    <row r="22" spans="17:19" x14ac:dyDescent="0.25">
      <c r="Q22" s="13"/>
      <c r="R22" s="13"/>
      <c r="S22" s="13"/>
    </row>
    <row r="23" spans="17:19" x14ac:dyDescent="0.25">
      <c r="Q23" s="13"/>
      <c r="R23" s="13"/>
      <c r="S23" s="13"/>
    </row>
    <row r="24" spans="17:19" x14ac:dyDescent="0.25">
      <c r="Q24" s="13"/>
      <c r="R24" s="13"/>
      <c r="S24" s="13"/>
    </row>
    <row r="25" spans="17:19" x14ac:dyDescent="0.25">
      <c r="Q25" s="13"/>
      <c r="R25" s="13"/>
      <c r="S25" s="13"/>
    </row>
  </sheetData>
  <mergeCells count="3">
    <mergeCell ref="F4:N4"/>
    <mergeCell ref="F6:I6"/>
    <mergeCell ref="K6:N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2:P28"/>
  <sheetViews>
    <sheetView topLeftCell="E4" workbookViewId="0">
      <selection activeCell="J26" sqref="J26"/>
    </sheetView>
  </sheetViews>
  <sheetFormatPr defaultRowHeight="15" x14ac:dyDescent="0.25"/>
  <cols>
    <col min="6" max="6" width="10.28515625" customWidth="1"/>
    <col min="7" max="7" width="13.7109375" bestFit="1" customWidth="1"/>
    <col min="8" max="8" width="18.28515625" customWidth="1"/>
    <col min="9" max="9" width="14.140625" customWidth="1"/>
    <col min="10" max="10" width="12.28515625" customWidth="1"/>
    <col min="11" max="12" width="14.28515625" customWidth="1"/>
    <col min="13" max="13" width="23.140625" bestFit="1" customWidth="1"/>
    <col min="14" max="14" width="19" bestFit="1" customWidth="1"/>
    <col min="15" max="15" width="30" bestFit="1" customWidth="1"/>
    <col min="16" max="16" width="27.42578125" bestFit="1" customWidth="1"/>
  </cols>
  <sheetData>
    <row r="2" spans="6:16" x14ac:dyDescent="0.25">
      <c r="O2" s="13" t="s">
        <v>81</v>
      </c>
      <c r="P2" s="20">
        <f>H7</f>
        <v>0.99997999999999998</v>
      </c>
    </row>
    <row r="3" spans="6:16" x14ac:dyDescent="0.25">
      <c r="O3" s="13" t="s">
        <v>86</v>
      </c>
      <c r="P3" s="20">
        <f>H9</f>
        <v>0.99995000000000001</v>
      </c>
    </row>
    <row r="5" spans="6:16" ht="15.75" thickBot="1" x14ac:dyDescent="0.3">
      <c r="F5" s="15" t="s">
        <v>73</v>
      </c>
      <c r="G5" s="15" t="s">
        <v>43</v>
      </c>
      <c r="H5" s="15" t="s">
        <v>76</v>
      </c>
      <c r="I5" s="15" t="s">
        <v>77</v>
      </c>
      <c r="J5" s="15" t="s">
        <v>39</v>
      </c>
      <c r="K5" s="15" t="s">
        <v>44</v>
      </c>
      <c r="L5" s="15" t="s">
        <v>74</v>
      </c>
      <c r="M5" s="15" t="s">
        <v>75</v>
      </c>
      <c r="N5" s="15" t="s">
        <v>78</v>
      </c>
      <c r="O5" s="15" t="s">
        <v>79</v>
      </c>
      <c r="P5" s="15" t="s">
        <v>80</v>
      </c>
    </row>
    <row r="6" spans="6:16" ht="16.5" thickTop="1" thickBot="1" x14ac:dyDescent="0.3"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  <row r="7" spans="6:16" x14ac:dyDescent="0.25">
      <c r="F7" s="24">
        <v>1</v>
      </c>
      <c r="G7" s="25">
        <v>20</v>
      </c>
      <c r="H7" s="32">
        <f>(10^6-G7)/10^6</f>
        <v>0.99997999999999998</v>
      </c>
      <c r="I7" s="33"/>
      <c r="J7" s="25">
        <v>50</v>
      </c>
      <c r="K7" s="25">
        <v>50</v>
      </c>
      <c r="L7" s="25">
        <f>K7-J7</f>
        <v>0</v>
      </c>
      <c r="M7" s="33"/>
      <c r="N7" s="33"/>
      <c r="O7" s="33"/>
      <c r="P7" s="34"/>
    </row>
    <row r="8" spans="6:16" x14ac:dyDescent="0.25">
      <c r="F8" s="27"/>
      <c r="G8" s="22"/>
      <c r="H8" s="23"/>
      <c r="I8" s="21">
        <f>H7-H9</f>
        <v>2.9999999999974492E-5</v>
      </c>
      <c r="J8" s="22"/>
      <c r="K8" s="22"/>
      <c r="L8" s="22"/>
      <c r="M8" s="18">
        <f>L7</f>
        <v>0</v>
      </c>
      <c r="N8" s="18">
        <f t="shared" ref="N8:N18" si="0">M8*I8</f>
        <v>0</v>
      </c>
      <c r="O8" s="41"/>
      <c r="P8" s="36"/>
    </row>
    <row r="9" spans="6:16" x14ac:dyDescent="0.25">
      <c r="F9" s="26">
        <v>2</v>
      </c>
      <c r="G9" s="18">
        <v>50</v>
      </c>
      <c r="H9" s="21">
        <f t="shared" ref="H9:H19" si="1">(10^6-G9)/10^6</f>
        <v>0.99995000000000001</v>
      </c>
      <c r="I9" s="22"/>
      <c r="J9" s="18">
        <v>100</v>
      </c>
      <c r="K9" s="18">
        <v>100</v>
      </c>
      <c r="L9" s="18">
        <f t="shared" ref="L9:L19" si="2">K9-J9</f>
        <v>0</v>
      </c>
      <c r="M9" s="22"/>
      <c r="N9" s="22"/>
      <c r="O9" s="42">
        <f>N8</f>
        <v>0</v>
      </c>
      <c r="P9" s="35">
        <f>O9/(P2-H9)</f>
        <v>0</v>
      </c>
    </row>
    <row r="10" spans="6:16" x14ac:dyDescent="0.25">
      <c r="F10" s="27"/>
      <c r="G10" s="22"/>
      <c r="H10" s="23"/>
      <c r="I10" s="21">
        <f t="shared" ref="I10:I18" si="3">H9-H11</f>
        <v>4.9999999999994493E-5</v>
      </c>
      <c r="J10" s="22"/>
      <c r="K10" s="22"/>
      <c r="L10" s="22"/>
      <c r="M10" s="18">
        <f>L9+M8</f>
        <v>0</v>
      </c>
      <c r="N10" s="18">
        <f t="shared" si="0"/>
        <v>0</v>
      </c>
      <c r="O10" s="41"/>
      <c r="P10" s="36"/>
    </row>
    <row r="11" spans="6:16" x14ac:dyDescent="0.25">
      <c r="F11" s="26">
        <v>3</v>
      </c>
      <c r="G11" s="18">
        <v>100</v>
      </c>
      <c r="H11" s="21">
        <f t="shared" si="1"/>
        <v>0.99990000000000001</v>
      </c>
      <c r="I11" s="22"/>
      <c r="J11" s="18">
        <v>80</v>
      </c>
      <c r="K11" s="18">
        <v>100</v>
      </c>
      <c r="L11" s="18">
        <f t="shared" si="2"/>
        <v>20</v>
      </c>
      <c r="M11" s="22"/>
      <c r="N11" s="22"/>
      <c r="O11" s="42">
        <f>N10+O9</f>
        <v>0</v>
      </c>
      <c r="P11" s="35">
        <f>O11/(P3-H11)</f>
        <v>0</v>
      </c>
    </row>
    <row r="12" spans="6:16" x14ac:dyDescent="0.25">
      <c r="F12" s="27"/>
      <c r="G12" s="22"/>
      <c r="H12" s="23"/>
      <c r="I12" s="21">
        <f t="shared" si="3"/>
        <v>4.9999999999994493E-5</v>
      </c>
      <c r="J12" s="22"/>
      <c r="K12" s="22"/>
      <c r="L12" s="22"/>
      <c r="M12" s="18">
        <f>L11+M10</f>
        <v>20</v>
      </c>
      <c r="N12" s="18">
        <f t="shared" si="0"/>
        <v>9.9999999999988987E-4</v>
      </c>
      <c r="O12" s="41"/>
      <c r="P12" s="36"/>
    </row>
    <row r="13" spans="6:16" x14ac:dyDescent="0.25">
      <c r="F13" s="26">
        <v>4</v>
      </c>
      <c r="G13" s="18">
        <v>150</v>
      </c>
      <c r="H13" s="21">
        <f t="shared" si="1"/>
        <v>0.99985000000000002</v>
      </c>
      <c r="I13" s="22"/>
      <c r="J13" s="18"/>
      <c r="K13" s="18">
        <v>70</v>
      </c>
      <c r="L13" s="18">
        <f t="shared" si="2"/>
        <v>70</v>
      </c>
      <c r="M13" s="22"/>
      <c r="N13" s="22"/>
      <c r="O13" s="42">
        <f>N12+O11</f>
        <v>9.9999999999988987E-4</v>
      </c>
      <c r="P13" s="35">
        <f>O13/(P3-H13)</f>
        <v>10</v>
      </c>
    </row>
    <row r="14" spans="6:16" x14ac:dyDescent="0.25">
      <c r="F14" s="27"/>
      <c r="G14" s="22"/>
      <c r="H14" s="23"/>
      <c r="I14" s="21">
        <f t="shared" si="3"/>
        <v>4.9999999999994493E-5</v>
      </c>
      <c r="J14" s="22"/>
      <c r="K14" s="22"/>
      <c r="L14" s="22"/>
      <c r="M14" s="18">
        <f>L13+M12</f>
        <v>90</v>
      </c>
      <c r="N14" s="18">
        <f t="shared" si="0"/>
        <v>4.4999999999995044E-3</v>
      </c>
      <c r="O14" s="41"/>
      <c r="P14" s="36"/>
    </row>
    <row r="15" spans="6:16" x14ac:dyDescent="0.25">
      <c r="F15" s="26">
        <v>5</v>
      </c>
      <c r="G15" s="18">
        <v>200</v>
      </c>
      <c r="H15" s="21">
        <f t="shared" si="1"/>
        <v>0.99980000000000002</v>
      </c>
      <c r="I15" s="22"/>
      <c r="J15" s="18">
        <v>70</v>
      </c>
      <c r="K15" s="18"/>
      <c r="L15" s="18">
        <f t="shared" si="2"/>
        <v>-70</v>
      </c>
      <c r="M15" s="22"/>
      <c r="N15" s="22"/>
      <c r="O15" s="42">
        <f>N14+O13</f>
        <v>5.4999999999993943E-3</v>
      </c>
      <c r="P15" s="35">
        <f>O15/(P3-H15)</f>
        <v>36.666666666666664</v>
      </c>
    </row>
    <row r="16" spans="6:16" x14ac:dyDescent="0.25">
      <c r="F16" s="27"/>
      <c r="G16" s="22"/>
      <c r="H16" s="23"/>
      <c r="I16" s="21">
        <f t="shared" si="3"/>
        <v>4.9999999999994493E-5</v>
      </c>
      <c r="J16" s="22"/>
      <c r="K16" s="22"/>
      <c r="L16" s="22"/>
      <c r="M16" s="18">
        <f>L15+M14</f>
        <v>20</v>
      </c>
      <c r="N16" s="18">
        <f t="shared" si="0"/>
        <v>9.9999999999988987E-4</v>
      </c>
      <c r="O16" s="41"/>
      <c r="P16" s="36"/>
    </row>
    <row r="17" spans="6:16" x14ac:dyDescent="0.25">
      <c r="F17" s="26">
        <v>6</v>
      </c>
      <c r="G17" s="18">
        <v>250</v>
      </c>
      <c r="H17" s="21">
        <f t="shared" si="1"/>
        <v>0.99975000000000003</v>
      </c>
      <c r="I17" s="22"/>
      <c r="J17" s="18"/>
      <c r="K17" s="18">
        <v>60</v>
      </c>
      <c r="L17" s="18">
        <f t="shared" si="2"/>
        <v>60</v>
      </c>
      <c r="M17" s="22"/>
      <c r="N17" s="22"/>
      <c r="O17" s="42">
        <f>N16+O15</f>
        <v>6.4999999999992841E-3</v>
      </c>
      <c r="P17" s="35">
        <f>O17/(P3-H17)</f>
        <v>32.5</v>
      </c>
    </row>
    <row r="18" spans="6:16" x14ac:dyDescent="0.25">
      <c r="F18" s="27"/>
      <c r="G18" s="22"/>
      <c r="H18" s="23"/>
      <c r="I18" s="21">
        <f t="shared" si="3"/>
        <v>0.99975000000000003</v>
      </c>
      <c r="J18" s="22"/>
      <c r="K18" s="22"/>
      <c r="L18" s="22"/>
      <c r="M18" s="18">
        <f>L17+M16</f>
        <v>80</v>
      </c>
      <c r="N18" s="18">
        <f t="shared" si="0"/>
        <v>79.98</v>
      </c>
      <c r="O18" s="41"/>
      <c r="P18" s="36"/>
    </row>
    <row r="19" spans="6:16" ht="15.75" thickBot="1" x14ac:dyDescent="0.3">
      <c r="F19" s="28">
        <v>7</v>
      </c>
      <c r="G19" s="29">
        <f>10^6</f>
        <v>1000000</v>
      </c>
      <c r="H19" s="30">
        <f t="shared" si="1"/>
        <v>0</v>
      </c>
      <c r="I19" s="31"/>
      <c r="J19" s="29"/>
      <c r="K19" s="29"/>
      <c r="L19" s="29">
        <f t="shared" si="2"/>
        <v>0</v>
      </c>
      <c r="M19" s="31"/>
      <c r="N19" s="31"/>
      <c r="O19" s="43">
        <f>N18+O17</f>
        <v>79.986500000000007</v>
      </c>
      <c r="P19" s="37">
        <f>O19/(P3-H19)</f>
        <v>79.990499524976258</v>
      </c>
    </row>
    <row r="21" spans="6:16" x14ac:dyDescent="0.25">
      <c r="H21" s="38"/>
      <c r="I21" s="38"/>
      <c r="J21" s="38"/>
      <c r="K21" s="38"/>
      <c r="L21" s="38"/>
      <c r="M21" s="38"/>
      <c r="N21" s="38"/>
      <c r="O21" s="38"/>
    </row>
    <row r="22" spans="6:16" x14ac:dyDescent="0.25">
      <c r="H22" s="38"/>
      <c r="I22" s="38"/>
      <c r="J22" s="38"/>
      <c r="K22" s="38"/>
      <c r="L22" s="38"/>
      <c r="M22" s="38"/>
      <c r="N22" s="38"/>
      <c r="O22" s="38"/>
    </row>
    <row r="23" spans="6:16" x14ac:dyDescent="0.25">
      <c r="H23" s="38"/>
      <c r="I23" s="39"/>
      <c r="J23" s="39"/>
      <c r="K23" s="39"/>
      <c r="L23" s="39"/>
      <c r="M23" s="39"/>
      <c r="N23" s="39"/>
      <c r="O23" s="39"/>
    </row>
    <row r="24" spans="6:16" x14ac:dyDescent="0.25">
      <c r="H24" s="38"/>
      <c r="I24" s="38"/>
      <c r="J24" s="40" t="s">
        <v>82</v>
      </c>
      <c r="K24" s="114" t="s">
        <v>87</v>
      </c>
      <c r="L24" s="114"/>
      <c r="M24" s="114"/>
      <c r="N24" s="114"/>
      <c r="O24" s="38"/>
    </row>
    <row r="25" spans="6:16" x14ac:dyDescent="0.25">
      <c r="H25" s="38"/>
      <c r="I25" s="38"/>
      <c r="J25" s="40" t="s">
        <v>83</v>
      </c>
      <c r="K25" s="114" t="s">
        <v>88</v>
      </c>
      <c r="L25" s="114"/>
      <c r="M25" s="114"/>
      <c r="N25" s="114"/>
      <c r="O25" s="38"/>
    </row>
    <row r="26" spans="6:16" x14ac:dyDescent="0.25">
      <c r="H26" s="38"/>
      <c r="I26" s="38"/>
      <c r="J26" s="40" t="s">
        <v>84</v>
      </c>
      <c r="K26" s="114" t="s">
        <v>85</v>
      </c>
      <c r="L26" s="114"/>
      <c r="M26" s="114"/>
      <c r="N26" s="114"/>
      <c r="O26" s="38"/>
    </row>
    <row r="27" spans="6:16" x14ac:dyDescent="0.25">
      <c r="H27" s="38"/>
      <c r="I27" s="38"/>
      <c r="J27" s="38"/>
      <c r="K27" s="38"/>
      <c r="L27" s="38"/>
      <c r="M27" s="38"/>
      <c r="N27" s="38"/>
      <c r="O27" s="38"/>
    </row>
    <row r="28" spans="6:16" x14ac:dyDescent="0.25">
      <c r="H28" s="38"/>
      <c r="I28" s="38"/>
      <c r="J28" s="38"/>
      <c r="K28" s="38"/>
      <c r="L28" s="38"/>
      <c r="M28" s="38"/>
      <c r="N28" s="38"/>
      <c r="O28" s="38"/>
    </row>
  </sheetData>
  <mergeCells count="3">
    <mergeCell ref="K24:N24"/>
    <mergeCell ref="K25:N25"/>
    <mergeCell ref="K26:N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S31"/>
  <sheetViews>
    <sheetView tabSelected="1" topLeftCell="C2" workbookViewId="0">
      <selection activeCell="M26" sqref="M26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0" max="10" width="10.28515625" customWidth="1"/>
    <col min="11" max="11" width="11.85546875" customWidth="1"/>
    <col min="12" max="12" width="10.85546875" bestFit="1" customWidth="1"/>
    <col min="13" max="13" width="13.140625" bestFit="1" customWidth="1"/>
    <col min="14" max="14" width="9.7109375" bestFit="1" customWidth="1"/>
    <col min="15" max="15" width="13.7109375" bestFit="1" customWidth="1"/>
  </cols>
  <sheetData>
    <row r="4" spans="6:17" ht="15.75" thickBot="1" x14ac:dyDescent="0.3">
      <c r="F4" s="111" t="s">
        <v>72</v>
      </c>
      <c r="G4" s="111"/>
      <c r="H4" s="111"/>
      <c r="I4" s="111"/>
      <c r="J4" s="111"/>
      <c r="K4" s="111"/>
      <c r="L4" s="111"/>
      <c r="M4" s="111"/>
      <c r="N4" s="111"/>
      <c r="O4" s="111"/>
    </row>
    <row r="5" spans="6:17" ht="16.5" thickTop="1" thickBot="1" x14ac:dyDescent="0.3"/>
    <row r="6" spans="6:17" ht="15.75" thickBot="1" x14ac:dyDescent="0.3">
      <c r="F6" s="115" t="s">
        <v>128</v>
      </c>
      <c r="G6" s="116"/>
      <c r="H6" s="116"/>
      <c r="I6" s="116"/>
      <c r="J6" s="116"/>
      <c r="K6" s="117"/>
      <c r="L6" s="115" t="s">
        <v>129</v>
      </c>
      <c r="M6" s="116"/>
      <c r="N6" s="116"/>
      <c r="O6" s="116"/>
      <c r="P6" s="116"/>
      <c r="Q6" s="117"/>
    </row>
    <row r="7" spans="6:17" ht="15.75" thickBot="1" x14ac:dyDescent="0.3"/>
    <row r="8" spans="6:17" x14ac:dyDescent="0.25">
      <c r="F8" s="63" t="s">
        <v>40</v>
      </c>
      <c r="G8" s="64" t="s">
        <v>41</v>
      </c>
      <c r="H8" s="64" t="s">
        <v>42</v>
      </c>
      <c r="I8" s="64" t="s">
        <v>43</v>
      </c>
      <c r="J8" s="78" t="s">
        <v>35</v>
      </c>
      <c r="K8" s="74" t="s">
        <v>120</v>
      </c>
      <c r="L8" s="63" t="s">
        <v>40</v>
      </c>
      <c r="M8" s="64" t="s">
        <v>41</v>
      </c>
      <c r="N8" s="64" t="s">
        <v>42</v>
      </c>
      <c r="O8" s="64" t="s">
        <v>43</v>
      </c>
      <c r="P8" s="78" t="s">
        <v>35</v>
      </c>
      <c r="Q8" s="74" t="s">
        <v>120</v>
      </c>
    </row>
    <row r="9" spans="6:17" ht="15.75" thickBot="1" x14ac:dyDescent="0.3">
      <c r="F9" s="68" t="s">
        <v>7</v>
      </c>
      <c r="G9" s="93" t="s">
        <v>125</v>
      </c>
      <c r="H9" s="69" t="s">
        <v>11</v>
      </c>
      <c r="I9" s="69" t="s">
        <v>10</v>
      </c>
      <c r="J9" s="94" t="s">
        <v>125</v>
      </c>
      <c r="K9" s="70" t="s">
        <v>124</v>
      </c>
      <c r="L9" s="68" t="s">
        <v>7</v>
      </c>
      <c r="M9" s="93" t="s">
        <v>125</v>
      </c>
      <c r="N9" s="69" t="s">
        <v>11</v>
      </c>
      <c r="O9" s="69" t="s">
        <v>10</v>
      </c>
      <c r="P9" s="94" t="s">
        <v>125</v>
      </c>
      <c r="Q9" s="70" t="s">
        <v>124</v>
      </c>
    </row>
    <row r="10" spans="6:17" x14ac:dyDescent="0.25">
      <c r="F10" s="95"/>
      <c r="G10" s="96"/>
      <c r="H10" s="96"/>
      <c r="I10" s="96"/>
      <c r="J10" s="96"/>
      <c r="K10" s="97"/>
      <c r="L10" s="95"/>
      <c r="M10" s="96"/>
      <c r="N10" s="96"/>
      <c r="O10" s="96"/>
      <c r="P10" s="96"/>
      <c r="Q10" s="97"/>
    </row>
    <row r="11" spans="6:17" x14ac:dyDescent="0.25">
      <c r="F11" s="66">
        <v>1</v>
      </c>
      <c r="G11" s="89" t="s">
        <v>62</v>
      </c>
      <c r="H11" s="89">
        <v>20</v>
      </c>
      <c r="I11" s="89">
        <v>0</v>
      </c>
      <c r="J11" s="92" t="s">
        <v>16</v>
      </c>
      <c r="K11" s="98">
        <f>H11*(O11-I11)</f>
        <v>2000</v>
      </c>
      <c r="L11" s="66">
        <v>1</v>
      </c>
      <c r="M11" s="89" t="s">
        <v>62</v>
      </c>
      <c r="N11" s="89">
        <v>20</v>
      </c>
      <c r="O11" s="89">
        <v>100</v>
      </c>
      <c r="P11" s="92" t="s">
        <v>16</v>
      </c>
      <c r="Q11" s="98">
        <f>K11</f>
        <v>2000</v>
      </c>
    </row>
    <row r="12" spans="6:17" x14ac:dyDescent="0.25">
      <c r="F12" s="66">
        <v>2</v>
      </c>
      <c r="G12" s="89" t="s">
        <v>63</v>
      </c>
      <c r="H12" s="89">
        <v>100</v>
      </c>
      <c r="I12" s="89">
        <v>50</v>
      </c>
      <c r="J12" s="92" t="s">
        <v>16</v>
      </c>
      <c r="K12" s="98">
        <f t="shared" ref="K12" si="0">H12*(O12-I12)</f>
        <v>5000</v>
      </c>
      <c r="L12" s="66">
        <v>2</v>
      </c>
      <c r="M12" s="89" t="s">
        <v>63</v>
      </c>
      <c r="N12" s="89">
        <v>100</v>
      </c>
      <c r="O12" s="89">
        <v>100</v>
      </c>
      <c r="P12" s="92" t="s">
        <v>16</v>
      </c>
      <c r="Q12" s="98">
        <f t="shared" ref="Q12:Q13" si="1">K12</f>
        <v>5000</v>
      </c>
    </row>
    <row r="13" spans="6:17" ht="15.75" thickBot="1" x14ac:dyDescent="0.3">
      <c r="F13" s="68">
        <v>3</v>
      </c>
      <c r="G13" s="69" t="s">
        <v>64</v>
      </c>
      <c r="H13" s="69">
        <v>40</v>
      </c>
      <c r="I13" s="69">
        <v>50</v>
      </c>
      <c r="J13" s="99" t="s">
        <v>16</v>
      </c>
      <c r="K13" s="100">
        <f>H13*(O13-I13)</f>
        <v>30000</v>
      </c>
      <c r="L13" s="68">
        <v>3</v>
      </c>
      <c r="M13" s="69" t="s">
        <v>64</v>
      </c>
      <c r="N13" s="69">
        <v>40</v>
      </c>
      <c r="O13" s="69">
        <v>800</v>
      </c>
      <c r="P13" s="99" t="s">
        <v>16</v>
      </c>
      <c r="Q13" s="100">
        <f t="shared" si="1"/>
        <v>30000</v>
      </c>
    </row>
    <row r="14" spans="6:17" x14ac:dyDescent="0.25"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6" spans="6:17" ht="15.75" thickBot="1" x14ac:dyDescent="0.3"/>
    <row r="17" spans="9:19" ht="15.75" thickBot="1" x14ac:dyDescent="0.3">
      <c r="I17" s="77">
        <v>0</v>
      </c>
    </row>
    <row r="18" spans="9:19" ht="15.75" thickBot="1" x14ac:dyDescent="0.3">
      <c r="I18" s="76">
        <v>50</v>
      </c>
    </row>
    <row r="20" spans="9:19" x14ac:dyDescent="0.25">
      <c r="K20" s="109"/>
      <c r="L20" s="109"/>
      <c r="M20" s="109" t="s">
        <v>139</v>
      </c>
      <c r="N20" s="109" t="s">
        <v>65</v>
      </c>
      <c r="O20" s="109" t="s">
        <v>140</v>
      </c>
    </row>
    <row r="22" spans="9:19" x14ac:dyDescent="0.25">
      <c r="K22" s="13"/>
      <c r="L22" s="13"/>
      <c r="P22">
        <v>0</v>
      </c>
    </row>
    <row r="23" spans="9:19" x14ac:dyDescent="0.25">
      <c r="K23" s="109">
        <v>0</v>
      </c>
      <c r="L23" s="109">
        <f>(1000000-K23)/1000000</f>
        <v>1</v>
      </c>
      <c r="M23" s="109">
        <v>20</v>
      </c>
      <c r="N23" s="109">
        <v>20</v>
      </c>
      <c r="O23" s="109">
        <f>M23-N23</f>
        <v>0</v>
      </c>
      <c r="P23" s="109"/>
      <c r="Q23" s="109"/>
      <c r="R23">
        <v>0</v>
      </c>
    </row>
    <row r="24" spans="9:19" x14ac:dyDescent="0.25">
      <c r="K24" s="109"/>
      <c r="L24" s="109"/>
      <c r="M24" s="109"/>
      <c r="N24" s="109"/>
      <c r="O24" s="109"/>
      <c r="P24" s="109">
        <f>P22+O23</f>
        <v>0</v>
      </c>
      <c r="Q24" s="109">
        <f>P24*(L23-L25)</f>
        <v>0</v>
      </c>
    </row>
    <row r="25" spans="9:19" x14ac:dyDescent="0.25">
      <c r="K25" s="109">
        <v>50</v>
      </c>
      <c r="L25" s="109">
        <f t="shared" ref="L22:L29" si="2">(1000000-K25)/1000000</f>
        <v>0.99995000000000001</v>
      </c>
      <c r="M25" s="109">
        <v>140</v>
      </c>
      <c r="N25" s="109">
        <v>140</v>
      </c>
      <c r="O25" s="109">
        <f t="shared" ref="O24:O31" si="3">M25-N25</f>
        <v>0</v>
      </c>
      <c r="P25" s="109"/>
      <c r="Q25" s="109"/>
      <c r="R25">
        <f>Q24+R23</f>
        <v>0</v>
      </c>
      <c r="S25">
        <f>R25/(1-L25)</f>
        <v>0</v>
      </c>
    </row>
    <row r="26" spans="9:19" x14ac:dyDescent="0.25">
      <c r="K26" s="109"/>
      <c r="L26" s="109"/>
      <c r="M26" s="109"/>
      <c r="N26" s="109"/>
      <c r="O26" s="109"/>
      <c r="P26" s="109">
        <f t="shared" ref="P25:P30" si="4">P24+O25</f>
        <v>0</v>
      </c>
      <c r="Q26" s="109">
        <f t="shared" ref="Q25:Q30" si="5">P26*(L25-L27)</f>
        <v>0</v>
      </c>
    </row>
    <row r="27" spans="9:19" x14ac:dyDescent="0.25">
      <c r="K27" s="109">
        <v>100</v>
      </c>
      <c r="L27" s="109">
        <f t="shared" si="2"/>
        <v>0.99990000000000001</v>
      </c>
      <c r="M27" s="109">
        <v>120</v>
      </c>
      <c r="N27" s="109"/>
      <c r="O27" s="109">
        <f t="shared" si="3"/>
        <v>120</v>
      </c>
      <c r="P27" s="109"/>
      <c r="Q27" s="109"/>
      <c r="R27">
        <f t="shared" ref="R26:R31" si="6">Q26+R25</f>
        <v>0</v>
      </c>
      <c r="S27">
        <f>R27/(L25-L27)</f>
        <v>0</v>
      </c>
    </row>
    <row r="28" spans="9:19" x14ac:dyDescent="0.25">
      <c r="K28" s="109"/>
      <c r="L28" s="109"/>
      <c r="M28" s="109"/>
      <c r="N28" s="109"/>
      <c r="O28" s="109"/>
      <c r="P28" s="109">
        <f t="shared" si="4"/>
        <v>120</v>
      </c>
      <c r="Q28" s="109">
        <f t="shared" si="5"/>
        <v>8.4000000000004071E-2</v>
      </c>
    </row>
    <row r="29" spans="9:19" x14ac:dyDescent="0.25">
      <c r="K29" s="109">
        <v>800</v>
      </c>
      <c r="L29" s="109">
        <f>(1000000-K29)/1000000</f>
        <v>0.99919999999999998</v>
      </c>
      <c r="M29" s="109">
        <v>40</v>
      </c>
      <c r="N29" s="109"/>
      <c r="O29" s="109">
        <f t="shared" si="3"/>
        <v>40</v>
      </c>
      <c r="P29" s="109"/>
      <c r="Q29" s="109"/>
      <c r="R29">
        <f t="shared" si="6"/>
        <v>8.4000000000004071E-2</v>
      </c>
      <c r="S29">
        <f>R29/(L25-L29)</f>
        <v>112.00000000000118</v>
      </c>
    </row>
    <row r="30" spans="9:19" x14ac:dyDescent="0.25">
      <c r="K30" s="109"/>
      <c r="L30" s="109"/>
      <c r="M30" s="109"/>
      <c r="N30" s="109"/>
      <c r="O30" s="109"/>
      <c r="P30" s="109">
        <f t="shared" si="4"/>
        <v>160</v>
      </c>
      <c r="Q30" s="109">
        <f t="shared" si="5"/>
        <v>159.87199999999999</v>
      </c>
    </row>
    <row r="31" spans="9:19" x14ac:dyDescent="0.25">
      <c r="K31" s="120">
        <v>1000000</v>
      </c>
      <c r="L31" s="109">
        <f>(1000000-K31)/1000000</f>
        <v>0</v>
      </c>
      <c r="M31" s="109"/>
      <c r="N31" s="109"/>
      <c r="O31" s="109">
        <f t="shared" si="3"/>
        <v>0</v>
      </c>
      <c r="P31" s="109"/>
      <c r="Q31" s="109"/>
      <c r="R31">
        <f t="shared" si="6"/>
        <v>159.95599999999999</v>
      </c>
      <c r="S31">
        <f>R31/(L25)</f>
        <v>159.96399819990998</v>
      </c>
    </row>
  </sheetData>
  <mergeCells count="3">
    <mergeCell ref="F4:O4"/>
    <mergeCell ref="L6:Q6"/>
    <mergeCell ref="F6:K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5:Q24"/>
  <sheetViews>
    <sheetView topLeftCell="D4" workbookViewId="0">
      <selection activeCell="N22" sqref="N22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  <col min="17" max="17" width="10.85546875" bestFit="1" customWidth="1"/>
  </cols>
  <sheetData>
    <row r="5" spans="6:17" ht="15.75" thickBot="1" x14ac:dyDescent="0.3">
      <c r="F5" s="111" t="s">
        <v>72</v>
      </c>
      <c r="G5" s="111"/>
      <c r="H5" s="111"/>
      <c r="I5" s="111"/>
      <c r="J5" s="111"/>
      <c r="K5" s="111"/>
      <c r="L5" s="111"/>
      <c r="M5" s="111"/>
      <c r="N5" s="111"/>
    </row>
    <row r="6" spans="6:17" ht="15.75" thickTop="1" x14ac:dyDescent="0.25"/>
    <row r="7" spans="6:17" ht="15.75" thickBot="1" x14ac:dyDescent="0.3">
      <c r="F7" s="111" t="s">
        <v>39</v>
      </c>
      <c r="G7" s="111"/>
      <c r="H7" s="111"/>
      <c r="I7" s="111"/>
      <c r="J7" s="16"/>
      <c r="K7" s="111" t="s">
        <v>44</v>
      </c>
      <c r="L7" s="111"/>
      <c r="M7" s="111"/>
      <c r="N7" s="111"/>
    </row>
    <row r="8" spans="6:17" ht="15.75" thickTop="1" x14ac:dyDescent="0.25"/>
    <row r="9" spans="6:17" x14ac:dyDescent="0.25">
      <c r="F9" s="14" t="s">
        <v>40</v>
      </c>
      <c r="G9" s="14" t="s">
        <v>41</v>
      </c>
      <c r="H9" s="14" t="s">
        <v>42</v>
      </c>
      <c r="I9" s="14" t="s">
        <v>43</v>
      </c>
      <c r="J9" s="14"/>
      <c r="K9" s="14" t="s">
        <v>40</v>
      </c>
      <c r="L9" s="14" t="s">
        <v>41</v>
      </c>
      <c r="M9" s="14" t="s">
        <v>42</v>
      </c>
      <c r="N9" s="14" t="s">
        <v>43</v>
      </c>
    </row>
    <row r="10" spans="6:17" ht="15.75" thickBot="1" x14ac:dyDescent="0.3">
      <c r="F10" s="15" t="s">
        <v>7</v>
      </c>
      <c r="G10" s="15" t="s">
        <v>8</v>
      </c>
      <c r="H10" s="15" t="s">
        <v>11</v>
      </c>
      <c r="I10" s="15" t="s">
        <v>10</v>
      </c>
      <c r="J10" s="15"/>
      <c r="K10" s="15" t="s">
        <v>7</v>
      </c>
      <c r="L10" s="15" t="s">
        <v>8</v>
      </c>
      <c r="M10" s="15" t="s">
        <v>11</v>
      </c>
      <c r="N10" s="15" t="s">
        <v>10</v>
      </c>
    </row>
    <row r="11" spans="6:17" ht="15.75" thickTop="1" x14ac:dyDescent="0.25"/>
    <row r="12" spans="6:17" x14ac:dyDescent="0.25">
      <c r="F12" s="13">
        <v>1</v>
      </c>
      <c r="G12" s="13" t="s">
        <v>62</v>
      </c>
      <c r="H12" s="13">
        <v>50</v>
      </c>
      <c r="I12" s="13">
        <v>20</v>
      </c>
      <c r="J12" s="13"/>
      <c r="K12" s="13">
        <v>1</v>
      </c>
      <c r="L12" s="13" t="s">
        <v>62</v>
      </c>
      <c r="M12" s="13">
        <v>50</v>
      </c>
      <c r="N12" s="13">
        <v>50</v>
      </c>
    </row>
    <row r="13" spans="6:17" x14ac:dyDescent="0.25">
      <c r="F13" s="13">
        <v>2</v>
      </c>
      <c r="G13" s="13" t="s">
        <v>63</v>
      </c>
      <c r="H13" s="13">
        <v>100</v>
      </c>
      <c r="I13" s="13">
        <v>50</v>
      </c>
      <c r="J13" s="13"/>
      <c r="K13" s="13">
        <v>2</v>
      </c>
      <c r="L13" s="13" t="s">
        <v>63</v>
      </c>
      <c r="M13" s="13">
        <v>100</v>
      </c>
      <c r="N13" s="13">
        <v>100</v>
      </c>
      <c r="Q13" t="s">
        <v>96</v>
      </c>
    </row>
    <row r="14" spans="6:17" x14ac:dyDescent="0.25">
      <c r="F14" s="13">
        <v>3</v>
      </c>
      <c r="G14" s="13" t="s">
        <v>64</v>
      </c>
      <c r="H14" s="13">
        <v>80</v>
      </c>
      <c r="I14" s="13">
        <v>100</v>
      </c>
      <c r="J14" s="13"/>
      <c r="K14" s="13">
        <v>3</v>
      </c>
      <c r="L14" s="13" t="s">
        <v>64</v>
      </c>
      <c r="M14" s="13">
        <v>70</v>
      </c>
      <c r="N14" s="13">
        <v>150</v>
      </c>
    </row>
    <row r="15" spans="6:17" x14ac:dyDescent="0.25">
      <c r="F15" s="13">
        <v>4</v>
      </c>
      <c r="G15" s="13" t="s">
        <v>65</v>
      </c>
      <c r="H15" s="13">
        <v>70</v>
      </c>
      <c r="I15" s="13">
        <v>200</v>
      </c>
      <c r="J15" s="13"/>
      <c r="K15" s="13">
        <v>4</v>
      </c>
      <c r="L15" s="13" t="s">
        <v>65</v>
      </c>
      <c r="M15" s="13">
        <v>60</v>
      </c>
      <c r="N15" s="13">
        <v>250</v>
      </c>
    </row>
    <row r="16" spans="6:17" x14ac:dyDescent="0.25">
      <c r="F16" s="13"/>
      <c r="G16" s="13"/>
      <c r="H16" s="13"/>
      <c r="I16" s="13"/>
      <c r="K16" s="13"/>
    </row>
    <row r="19" spans="9:11" x14ac:dyDescent="0.25">
      <c r="I19" s="118" t="s">
        <v>89</v>
      </c>
      <c r="J19" s="118"/>
    </row>
    <row r="21" spans="9:11" x14ac:dyDescent="0.25">
      <c r="I21" s="17" t="s">
        <v>53</v>
      </c>
      <c r="J21" s="17">
        <v>1</v>
      </c>
      <c r="K21" s="17"/>
    </row>
    <row r="22" spans="9:11" x14ac:dyDescent="0.25">
      <c r="I22" s="17" t="s">
        <v>54</v>
      </c>
      <c r="J22" s="17">
        <v>150</v>
      </c>
      <c r="K22" s="17" t="s">
        <v>10</v>
      </c>
    </row>
    <row r="23" spans="9:11" x14ac:dyDescent="0.25">
      <c r="I23" s="17" t="s">
        <v>56</v>
      </c>
      <c r="J23" s="17">
        <v>70</v>
      </c>
      <c r="K23" s="17" t="s">
        <v>11</v>
      </c>
    </row>
    <row r="24" spans="9:11" x14ac:dyDescent="0.25">
      <c r="I24" s="17" t="s">
        <v>55</v>
      </c>
      <c r="J24" s="17">
        <v>50</v>
      </c>
      <c r="K24" s="17" t="s">
        <v>11</v>
      </c>
    </row>
  </sheetData>
  <mergeCells count="4">
    <mergeCell ref="F5:N5"/>
    <mergeCell ref="F7:I7"/>
    <mergeCell ref="K7:N7"/>
    <mergeCell ref="I19:J1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T33"/>
  <sheetViews>
    <sheetView topLeftCell="B1" workbookViewId="0">
      <selection activeCell="R16" sqref="R16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7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4" spans="6:14" ht="15.75" thickBot="1" x14ac:dyDescent="0.3">
      <c r="F4" s="111" t="s">
        <v>72</v>
      </c>
      <c r="G4" s="111"/>
      <c r="H4" s="111"/>
      <c r="I4" s="111"/>
      <c r="J4" s="111"/>
      <c r="K4" s="111"/>
      <c r="L4" s="111"/>
      <c r="M4" s="111"/>
      <c r="N4" s="111"/>
    </row>
    <row r="5" spans="6:14" ht="15.75" thickTop="1" x14ac:dyDescent="0.25"/>
    <row r="6" spans="6:14" ht="15.75" thickBot="1" x14ac:dyDescent="0.3">
      <c r="F6" s="111" t="s">
        <v>39</v>
      </c>
      <c r="G6" s="111"/>
      <c r="H6" s="111"/>
      <c r="I6" s="111"/>
      <c r="J6" s="16"/>
      <c r="K6" s="111" t="s">
        <v>44</v>
      </c>
      <c r="L6" s="111"/>
      <c r="M6" s="111"/>
      <c r="N6" s="111"/>
    </row>
    <row r="7" spans="6:14" ht="15.75" thickTop="1" x14ac:dyDescent="0.25"/>
    <row r="8" spans="6:14" x14ac:dyDescent="0.25">
      <c r="F8" s="14" t="s">
        <v>40</v>
      </c>
      <c r="G8" s="14" t="s">
        <v>41</v>
      </c>
      <c r="H8" s="14" t="s">
        <v>42</v>
      </c>
      <c r="I8" s="14" t="s">
        <v>43</v>
      </c>
      <c r="J8" s="14"/>
      <c r="K8" s="14" t="s">
        <v>40</v>
      </c>
      <c r="L8" s="14" t="s">
        <v>41</v>
      </c>
      <c r="M8" s="14" t="s">
        <v>42</v>
      </c>
      <c r="N8" s="14" t="s">
        <v>43</v>
      </c>
    </row>
    <row r="9" spans="6:14" ht="15.75" thickBot="1" x14ac:dyDescent="0.3">
      <c r="F9" s="15" t="s">
        <v>7</v>
      </c>
      <c r="G9" s="15" t="s">
        <v>8</v>
      </c>
      <c r="H9" s="15" t="s">
        <v>11</v>
      </c>
      <c r="I9" s="15" t="s">
        <v>10</v>
      </c>
      <c r="J9" s="15"/>
      <c r="K9" s="15" t="s">
        <v>7</v>
      </c>
      <c r="L9" s="15" t="s">
        <v>8</v>
      </c>
      <c r="M9" s="15" t="s">
        <v>11</v>
      </c>
      <c r="N9" s="15" t="s">
        <v>10</v>
      </c>
    </row>
    <row r="10" spans="6:14" ht="15.75" thickTop="1" x14ac:dyDescent="0.25"/>
    <row r="11" spans="6:14" x14ac:dyDescent="0.25">
      <c r="F11" s="17">
        <v>1</v>
      </c>
      <c r="G11" s="17" t="s">
        <v>62</v>
      </c>
      <c r="H11" s="17">
        <v>20</v>
      </c>
      <c r="I11" s="17">
        <v>0</v>
      </c>
      <c r="J11" s="13"/>
      <c r="K11" s="17">
        <v>1</v>
      </c>
      <c r="L11" s="17" t="s">
        <v>62</v>
      </c>
      <c r="M11" s="17">
        <v>20</v>
      </c>
      <c r="N11" s="17">
        <v>100</v>
      </c>
    </row>
    <row r="12" spans="6:14" x14ac:dyDescent="0.25">
      <c r="F12" s="17">
        <v>2</v>
      </c>
      <c r="G12" s="17" t="s">
        <v>63</v>
      </c>
      <c r="H12" s="17">
        <v>100</v>
      </c>
      <c r="I12" s="17">
        <v>50</v>
      </c>
      <c r="J12" s="13"/>
      <c r="K12" s="17">
        <v>2</v>
      </c>
      <c r="L12" s="17" t="s">
        <v>63</v>
      </c>
      <c r="M12" s="17">
        <v>100</v>
      </c>
      <c r="N12" s="17">
        <v>100</v>
      </c>
    </row>
    <row r="13" spans="6:14" x14ac:dyDescent="0.25">
      <c r="F13" s="17">
        <v>3</v>
      </c>
      <c r="G13" s="17" t="s">
        <v>64</v>
      </c>
      <c r="H13" s="17">
        <v>40</v>
      </c>
      <c r="I13" s="17">
        <v>50</v>
      </c>
      <c r="J13" s="13"/>
      <c r="K13" s="17">
        <v>3</v>
      </c>
      <c r="L13" s="17" t="s">
        <v>64</v>
      </c>
      <c r="M13" s="17">
        <v>40</v>
      </c>
      <c r="N13" s="17">
        <v>800</v>
      </c>
    </row>
    <row r="14" spans="6:14" x14ac:dyDescent="0.25">
      <c r="F14" s="17">
        <v>4</v>
      </c>
      <c r="G14" s="17" t="s">
        <v>65</v>
      </c>
      <c r="H14" s="17">
        <v>10</v>
      </c>
      <c r="I14" s="17">
        <v>400</v>
      </c>
      <c r="J14" s="13"/>
      <c r="K14" s="17">
        <v>4</v>
      </c>
      <c r="L14" s="17" t="s">
        <v>65</v>
      </c>
      <c r="M14" s="17">
        <v>10</v>
      </c>
      <c r="N14" s="17">
        <v>800</v>
      </c>
    </row>
    <row r="15" spans="6:14" x14ac:dyDescent="0.25">
      <c r="F15" s="17">
        <v>5</v>
      </c>
      <c r="G15" s="17" t="s">
        <v>66</v>
      </c>
      <c r="H15" s="17">
        <v>50</v>
      </c>
      <c r="I15" s="17">
        <v>20</v>
      </c>
      <c r="K15" s="17">
        <v>9</v>
      </c>
      <c r="L15" s="17" t="s">
        <v>92</v>
      </c>
      <c r="M15" s="17">
        <v>50</v>
      </c>
      <c r="N15" s="17">
        <v>50</v>
      </c>
    </row>
    <row r="16" spans="6:14" x14ac:dyDescent="0.25">
      <c r="F16" s="17">
        <v>6</v>
      </c>
      <c r="G16" s="17" t="s">
        <v>67</v>
      </c>
      <c r="H16" s="17">
        <v>100</v>
      </c>
      <c r="I16" s="17">
        <v>50</v>
      </c>
      <c r="K16" s="17">
        <v>10</v>
      </c>
      <c r="L16" s="17" t="s">
        <v>93</v>
      </c>
      <c r="M16" s="17">
        <v>100</v>
      </c>
      <c r="N16" s="17">
        <v>100</v>
      </c>
    </row>
    <row r="17" spans="6:20" x14ac:dyDescent="0.25">
      <c r="F17" s="17">
        <v>7</v>
      </c>
      <c r="G17" s="17" t="s">
        <v>90</v>
      </c>
      <c r="H17" s="17">
        <v>80</v>
      </c>
      <c r="I17" s="17">
        <v>100</v>
      </c>
      <c r="K17" s="17">
        <v>11</v>
      </c>
      <c r="L17" s="17" t="s">
        <v>94</v>
      </c>
      <c r="M17" s="17">
        <v>70</v>
      </c>
      <c r="N17" s="17">
        <v>150</v>
      </c>
    </row>
    <row r="18" spans="6:20" x14ac:dyDescent="0.25">
      <c r="F18" s="17">
        <v>8</v>
      </c>
      <c r="G18" s="17" t="s">
        <v>91</v>
      </c>
      <c r="H18" s="17">
        <v>70</v>
      </c>
      <c r="I18" s="17">
        <v>200</v>
      </c>
      <c r="K18" s="17">
        <v>12</v>
      </c>
      <c r="L18" s="17" t="s">
        <v>95</v>
      </c>
      <c r="M18" s="17">
        <v>60</v>
      </c>
      <c r="N18" s="17">
        <v>250</v>
      </c>
    </row>
    <row r="21" spans="6:20" x14ac:dyDescent="0.25">
      <c r="L21" s="50" t="s">
        <v>64</v>
      </c>
      <c r="M21" s="13" t="s">
        <v>64</v>
      </c>
    </row>
    <row r="22" spans="6:20" x14ac:dyDescent="0.25">
      <c r="J22" s="13"/>
      <c r="K22" s="13" t="s">
        <v>111</v>
      </c>
      <c r="L22" s="13">
        <v>3</v>
      </c>
      <c r="M22" s="13">
        <v>4</v>
      </c>
      <c r="N22" s="13">
        <v>5</v>
      </c>
      <c r="O22" s="13">
        <v>6</v>
      </c>
      <c r="P22" s="13">
        <v>7</v>
      </c>
      <c r="Q22" s="13">
        <v>8</v>
      </c>
      <c r="R22" s="13">
        <v>9</v>
      </c>
      <c r="S22" s="13">
        <v>10</v>
      </c>
      <c r="T22" s="13" t="s">
        <v>55</v>
      </c>
    </row>
    <row r="23" spans="6:20" x14ac:dyDescent="0.25">
      <c r="I23" s="13"/>
      <c r="J23" s="54" t="s">
        <v>97</v>
      </c>
      <c r="K23" s="54" t="s">
        <v>34</v>
      </c>
      <c r="L23" s="55">
        <v>0</v>
      </c>
      <c r="M23" s="55">
        <v>20</v>
      </c>
      <c r="N23" s="55">
        <v>50</v>
      </c>
      <c r="O23" s="55">
        <v>50</v>
      </c>
      <c r="P23" s="55">
        <v>50</v>
      </c>
      <c r="Q23" s="55">
        <v>100</v>
      </c>
      <c r="R23" s="55">
        <v>200</v>
      </c>
      <c r="S23" s="55">
        <v>400</v>
      </c>
      <c r="T23" s="54">
        <f>((T29*J29)+(J30*T30)+(J31*T31)+(J32*T32)+(J33*T33))/SUM(T29:T33)</f>
        <v>377.7788888888889</v>
      </c>
    </row>
    <row r="24" spans="6:20" x14ac:dyDescent="0.25">
      <c r="I24" s="13" t="s">
        <v>110</v>
      </c>
      <c r="J24" s="54" t="s">
        <v>34</v>
      </c>
      <c r="K24" s="54" t="s">
        <v>99</v>
      </c>
      <c r="L24" s="55" t="s">
        <v>98</v>
      </c>
      <c r="M24" s="55" t="s">
        <v>100</v>
      </c>
      <c r="N24" s="55" t="s">
        <v>101</v>
      </c>
      <c r="O24" s="55" t="s">
        <v>102</v>
      </c>
      <c r="P24" s="55" t="s">
        <v>103</v>
      </c>
      <c r="Q24" s="55" t="s">
        <v>106</v>
      </c>
      <c r="R24" s="55" t="s">
        <v>108</v>
      </c>
      <c r="S24" s="56" t="s">
        <v>109</v>
      </c>
      <c r="T24" s="54">
        <v>135</v>
      </c>
    </row>
    <row r="25" spans="6:20" x14ac:dyDescent="0.25">
      <c r="I25" s="13">
        <v>3</v>
      </c>
      <c r="J25" s="55">
        <v>0</v>
      </c>
      <c r="K25" s="55" t="s">
        <v>112</v>
      </c>
      <c r="L25" s="53">
        <v>20</v>
      </c>
      <c r="M25" s="53">
        <v>30</v>
      </c>
      <c r="N25" s="53">
        <v>35</v>
      </c>
      <c r="O25" s="53">
        <v>20</v>
      </c>
      <c r="P25" s="53">
        <v>50</v>
      </c>
      <c r="Q25" s="53">
        <v>0</v>
      </c>
      <c r="R25" s="53" t="s">
        <v>97</v>
      </c>
      <c r="S25" s="53" t="s">
        <v>97</v>
      </c>
      <c r="T25" s="53" t="s">
        <v>97</v>
      </c>
    </row>
    <row r="26" spans="6:20" x14ac:dyDescent="0.25">
      <c r="I26" s="13">
        <v>4</v>
      </c>
      <c r="J26" s="55">
        <v>50</v>
      </c>
      <c r="K26" s="55" t="s">
        <v>113</v>
      </c>
      <c r="L26" s="53">
        <v>0</v>
      </c>
      <c r="M26" s="53">
        <v>20</v>
      </c>
      <c r="N26" s="53">
        <v>30</v>
      </c>
      <c r="O26" s="53">
        <v>0</v>
      </c>
      <c r="P26" s="53">
        <v>0</v>
      </c>
      <c r="Q26" s="53">
        <v>0</v>
      </c>
      <c r="R26" s="53" t="s">
        <v>97</v>
      </c>
      <c r="S26" s="53" t="s">
        <v>97</v>
      </c>
      <c r="T26" s="53" t="s">
        <v>97</v>
      </c>
    </row>
    <row r="27" spans="6:20" x14ac:dyDescent="0.25">
      <c r="I27" s="13">
        <v>5</v>
      </c>
      <c r="J27" s="55">
        <v>100</v>
      </c>
      <c r="K27" s="55" t="s">
        <v>98</v>
      </c>
      <c r="L27" s="53">
        <v>0</v>
      </c>
      <c r="M27" s="53">
        <v>0</v>
      </c>
      <c r="N27" s="53">
        <v>20</v>
      </c>
      <c r="O27" s="53">
        <v>0</v>
      </c>
      <c r="P27" s="53">
        <v>0</v>
      </c>
      <c r="Q27" s="53">
        <v>0</v>
      </c>
      <c r="R27" s="53" t="s">
        <v>97</v>
      </c>
      <c r="S27" s="53" t="s">
        <v>97</v>
      </c>
      <c r="T27" s="53" t="s">
        <v>97</v>
      </c>
    </row>
    <row r="28" spans="6:20" x14ac:dyDescent="0.25">
      <c r="I28" s="13">
        <v>6</v>
      </c>
      <c r="J28" s="55">
        <v>100</v>
      </c>
      <c r="K28" s="55" t="s">
        <v>104</v>
      </c>
      <c r="L28" s="53">
        <v>0</v>
      </c>
      <c r="M28" s="53">
        <v>0</v>
      </c>
      <c r="N28" s="53">
        <v>15</v>
      </c>
      <c r="O28" s="53">
        <v>20</v>
      </c>
      <c r="P28" s="53">
        <v>50</v>
      </c>
      <c r="Q28" s="53">
        <v>15</v>
      </c>
      <c r="R28" s="53" t="s">
        <v>97</v>
      </c>
      <c r="S28" s="53" t="s">
        <v>97</v>
      </c>
      <c r="T28" s="53" t="s">
        <v>97</v>
      </c>
    </row>
    <row r="29" spans="6:20" x14ac:dyDescent="0.25">
      <c r="I29" s="13">
        <v>7</v>
      </c>
      <c r="J29" s="54">
        <v>100</v>
      </c>
      <c r="K29" s="54" t="s">
        <v>105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65</v>
      </c>
      <c r="R29" s="53">
        <v>0</v>
      </c>
      <c r="S29" s="53">
        <v>0</v>
      </c>
      <c r="T29" s="48">
        <f>100-65</f>
        <v>35</v>
      </c>
    </row>
    <row r="30" spans="6:20" x14ac:dyDescent="0.25">
      <c r="I30" s="13">
        <v>8</v>
      </c>
      <c r="J30" s="54">
        <v>150</v>
      </c>
      <c r="K30" s="54" t="s">
        <v>107</v>
      </c>
      <c r="L30" s="53" t="s">
        <v>97</v>
      </c>
      <c r="M30" s="53" t="s">
        <v>97</v>
      </c>
      <c r="N30" s="53" t="s">
        <v>97</v>
      </c>
      <c r="O30" s="53" t="s">
        <v>97</v>
      </c>
      <c r="P30" s="53" t="s">
        <v>97</v>
      </c>
      <c r="Q30" s="53" t="s">
        <v>97</v>
      </c>
      <c r="R30" s="53">
        <v>35</v>
      </c>
      <c r="S30" s="53">
        <v>0</v>
      </c>
      <c r="T30" s="48">
        <f>70-35</f>
        <v>35</v>
      </c>
    </row>
    <row r="31" spans="6:20" x14ac:dyDescent="0.25">
      <c r="I31" s="13">
        <v>9</v>
      </c>
      <c r="J31" s="54">
        <v>250</v>
      </c>
      <c r="K31" s="54" t="s">
        <v>114</v>
      </c>
      <c r="L31" s="53" t="s">
        <v>97</v>
      </c>
      <c r="M31" s="53" t="s">
        <v>97</v>
      </c>
      <c r="N31" s="53" t="s">
        <v>97</v>
      </c>
      <c r="O31" s="53" t="s">
        <v>97</v>
      </c>
      <c r="P31" s="53" t="s">
        <v>97</v>
      </c>
      <c r="Q31" s="53" t="s">
        <v>97</v>
      </c>
      <c r="R31" s="53">
        <v>35</v>
      </c>
      <c r="S31" s="53">
        <v>7.2729999999999997</v>
      </c>
      <c r="T31" s="48">
        <f>60-35-7.273</f>
        <v>17.727</v>
      </c>
    </row>
    <row r="32" spans="6:20" x14ac:dyDescent="0.25">
      <c r="I32" s="13">
        <v>10</v>
      </c>
      <c r="J32" s="54">
        <v>800</v>
      </c>
      <c r="K32" s="54" t="s">
        <v>115</v>
      </c>
      <c r="L32" s="53" t="s">
        <v>97</v>
      </c>
      <c r="M32" s="53" t="s">
        <v>97</v>
      </c>
      <c r="N32" s="53" t="s">
        <v>97</v>
      </c>
      <c r="O32" s="53" t="s">
        <v>97</v>
      </c>
      <c r="P32" s="53" t="s">
        <v>97</v>
      </c>
      <c r="Q32" s="53" t="s">
        <v>97</v>
      </c>
      <c r="R32" s="53">
        <v>0</v>
      </c>
      <c r="S32" s="53">
        <v>2.7269999999999999</v>
      </c>
      <c r="T32" s="48">
        <f>40-2.727</f>
        <v>37.273000000000003</v>
      </c>
    </row>
    <row r="33" spans="9:20" x14ac:dyDescent="0.25">
      <c r="I33" s="13">
        <v>11</v>
      </c>
      <c r="J33" s="54">
        <v>800</v>
      </c>
      <c r="K33" s="54">
        <v>10</v>
      </c>
      <c r="L33" s="53" t="s">
        <v>97</v>
      </c>
      <c r="M33" s="53" t="s">
        <v>97</v>
      </c>
      <c r="N33" s="53" t="s">
        <v>97</v>
      </c>
      <c r="O33" s="53" t="s">
        <v>97</v>
      </c>
      <c r="P33" s="53" t="s">
        <v>97</v>
      </c>
      <c r="Q33" s="53" t="s">
        <v>97</v>
      </c>
      <c r="R33" s="53">
        <v>0</v>
      </c>
      <c r="S33" s="53">
        <v>0</v>
      </c>
      <c r="T33" s="48">
        <f>10</f>
        <v>10</v>
      </c>
    </row>
  </sheetData>
  <mergeCells count="3">
    <mergeCell ref="F4:N4"/>
    <mergeCell ref="F6:I6"/>
    <mergeCell ref="K6:N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5:N25"/>
  <sheetViews>
    <sheetView topLeftCell="A9" workbookViewId="0">
      <selection activeCell="N28" sqref="N28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13.85546875" bestFit="1" customWidth="1"/>
    <col min="9" max="9" width="13.7109375" bestFit="1" customWidth="1"/>
    <col min="10" max="10" width="9.4257812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5" spans="6:14" x14ac:dyDescent="0.25">
      <c r="F5" s="119" t="s">
        <v>72</v>
      </c>
      <c r="G5" s="119"/>
      <c r="H5" s="119"/>
      <c r="I5" s="119"/>
      <c r="J5" s="119"/>
      <c r="K5" s="119"/>
      <c r="L5" s="119"/>
      <c r="M5" s="119"/>
      <c r="N5" s="119"/>
    </row>
    <row r="7" spans="6:14" x14ac:dyDescent="0.25">
      <c r="F7" s="17" t="s">
        <v>39</v>
      </c>
      <c r="G7" s="17"/>
      <c r="H7" s="17"/>
      <c r="I7" s="17"/>
      <c r="J7" s="17"/>
      <c r="K7" s="17" t="s">
        <v>44</v>
      </c>
      <c r="L7" s="17"/>
      <c r="M7" s="17"/>
      <c r="N7" s="17"/>
    </row>
    <row r="8" spans="6:14" x14ac:dyDescent="0.25">
      <c r="F8" s="17"/>
      <c r="G8" s="17"/>
      <c r="H8" s="17"/>
      <c r="I8" s="17"/>
      <c r="J8" s="17"/>
      <c r="K8" s="17"/>
      <c r="L8" s="17"/>
      <c r="M8" s="17"/>
      <c r="N8" s="17"/>
    </row>
    <row r="9" spans="6:14" x14ac:dyDescent="0.25">
      <c r="F9" s="17" t="s">
        <v>40</v>
      </c>
      <c r="G9" s="17" t="s">
        <v>41</v>
      </c>
      <c r="H9" s="17" t="s">
        <v>42</v>
      </c>
      <c r="I9" s="17" t="s">
        <v>43</v>
      </c>
      <c r="J9" s="17"/>
      <c r="K9" s="17" t="s">
        <v>40</v>
      </c>
      <c r="L9" s="17" t="s">
        <v>41</v>
      </c>
      <c r="M9" s="17" t="s">
        <v>42</v>
      </c>
      <c r="N9" s="17" t="s">
        <v>43</v>
      </c>
    </row>
    <row r="10" spans="6:14" x14ac:dyDescent="0.25">
      <c r="F10" s="17" t="s">
        <v>7</v>
      </c>
      <c r="G10" s="17" t="s">
        <v>8</v>
      </c>
      <c r="H10" s="17" t="s">
        <v>11</v>
      </c>
      <c r="I10" s="17" t="s">
        <v>10</v>
      </c>
      <c r="J10" s="17"/>
      <c r="K10" s="17" t="s">
        <v>7</v>
      </c>
      <c r="L10" s="17" t="s">
        <v>8</v>
      </c>
      <c r="M10" s="17" t="s">
        <v>11</v>
      </c>
      <c r="N10" s="17" t="s">
        <v>10</v>
      </c>
    </row>
    <row r="11" spans="6:14" x14ac:dyDescent="0.25">
      <c r="F11" s="17"/>
      <c r="G11" s="17"/>
      <c r="H11" s="17"/>
      <c r="I11" s="17"/>
      <c r="J11" s="17"/>
      <c r="K11" s="17"/>
      <c r="L11" s="17"/>
      <c r="M11" s="17"/>
      <c r="N11" s="17"/>
    </row>
    <row r="12" spans="6:14" x14ac:dyDescent="0.25">
      <c r="F12" s="17">
        <v>1</v>
      </c>
      <c r="G12" s="17" t="s">
        <v>62</v>
      </c>
      <c r="H12" s="17">
        <v>20</v>
      </c>
      <c r="I12" s="17">
        <v>0</v>
      </c>
      <c r="J12" s="17"/>
      <c r="K12" s="17">
        <v>1</v>
      </c>
      <c r="L12" s="17" t="s">
        <v>62</v>
      </c>
      <c r="M12" s="44">
        <v>20</v>
      </c>
      <c r="N12" s="17">
        <v>100</v>
      </c>
    </row>
    <row r="13" spans="6:14" x14ac:dyDescent="0.25">
      <c r="F13" s="17">
        <v>2</v>
      </c>
      <c r="G13" s="17" t="s">
        <v>63</v>
      </c>
      <c r="H13" s="17">
        <v>100</v>
      </c>
      <c r="I13" s="17">
        <v>50</v>
      </c>
      <c r="J13" s="17"/>
      <c r="K13" s="17">
        <v>2</v>
      </c>
      <c r="L13" s="17" t="s">
        <v>63</v>
      </c>
      <c r="M13" s="44">
        <v>100</v>
      </c>
      <c r="N13" s="17">
        <v>100</v>
      </c>
    </row>
    <row r="14" spans="6:14" x14ac:dyDescent="0.25">
      <c r="F14" s="17">
        <v>3</v>
      </c>
      <c r="G14" s="17" t="s">
        <v>64</v>
      </c>
      <c r="H14" s="17">
        <v>40</v>
      </c>
      <c r="I14" s="17">
        <v>50</v>
      </c>
      <c r="J14" s="17"/>
      <c r="K14" s="17">
        <v>3</v>
      </c>
      <c r="L14" s="17" t="s">
        <v>64</v>
      </c>
      <c r="M14" s="44">
        <v>40</v>
      </c>
      <c r="N14" s="17">
        <v>800</v>
      </c>
    </row>
    <row r="15" spans="6:14" x14ac:dyDescent="0.25">
      <c r="F15" s="45">
        <v>4</v>
      </c>
      <c r="G15" s="45" t="s">
        <v>65</v>
      </c>
      <c r="H15" s="45">
        <v>10</v>
      </c>
      <c r="I15" s="45">
        <v>400</v>
      </c>
      <c r="J15" s="45"/>
      <c r="K15" s="45">
        <v>4</v>
      </c>
      <c r="L15" s="45" t="s">
        <v>65</v>
      </c>
      <c r="M15" s="45">
        <v>10</v>
      </c>
      <c r="N15" s="45">
        <v>800</v>
      </c>
    </row>
    <row r="16" spans="6:14" x14ac:dyDescent="0.25">
      <c r="F16" s="46"/>
      <c r="G16" s="46"/>
      <c r="H16" s="46"/>
      <c r="I16" s="46"/>
      <c r="J16" s="46"/>
      <c r="K16" s="46"/>
      <c r="L16" s="46"/>
      <c r="M16" s="46"/>
      <c r="N16" s="46"/>
    </row>
    <row r="17" spans="6:14" x14ac:dyDescent="0.25">
      <c r="F17" s="18"/>
      <c r="G17" s="18"/>
      <c r="H17" s="18"/>
      <c r="I17" s="18"/>
      <c r="J17" s="18"/>
      <c r="K17" s="18"/>
      <c r="L17" s="18"/>
      <c r="M17" s="18"/>
      <c r="N17" s="18"/>
    </row>
    <row r="18" spans="6:14" x14ac:dyDescent="0.25">
      <c r="F18" s="18"/>
      <c r="G18" s="18"/>
      <c r="H18" s="57" t="s">
        <v>39</v>
      </c>
      <c r="I18" s="18"/>
      <c r="J18" s="18"/>
      <c r="K18" s="18"/>
      <c r="L18" s="18"/>
      <c r="M18" s="18"/>
      <c r="N18" s="18"/>
    </row>
    <row r="19" spans="6:14" x14ac:dyDescent="0.25">
      <c r="F19" s="18"/>
      <c r="G19" s="54" t="s">
        <v>97</v>
      </c>
      <c r="H19" s="54" t="s">
        <v>34</v>
      </c>
      <c r="I19" s="53">
        <v>0</v>
      </c>
      <c r="J19" s="53">
        <v>50</v>
      </c>
      <c r="K19" s="53">
        <v>50</v>
      </c>
      <c r="L19" s="53">
        <v>400</v>
      </c>
      <c r="M19" s="48">
        <f>((G23*M23)+(G24*M24)+(G25*M25))/SUM(M23:M25)</f>
        <v>455.52222222222224</v>
      </c>
      <c r="N19" s="18"/>
    </row>
    <row r="20" spans="6:14" x14ac:dyDescent="0.25">
      <c r="F20" s="47" t="s">
        <v>44</v>
      </c>
      <c r="G20" s="54" t="s">
        <v>34</v>
      </c>
      <c r="H20" s="54" t="s">
        <v>99</v>
      </c>
      <c r="I20" s="53" t="s">
        <v>98</v>
      </c>
      <c r="J20" s="53" t="s">
        <v>116</v>
      </c>
      <c r="K20" s="53" t="s">
        <v>102</v>
      </c>
      <c r="L20" s="58" t="s">
        <v>109</v>
      </c>
      <c r="M20" s="48">
        <v>90</v>
      </c>
    </row>
    <row r="21" spans="6:14" x14ac:dyDescent="0.25">
      <c r="G21" s="53">
        <v>0</v>
      </c>
      <c r="H21" s="53" t="s">
        <v>117</v>
      </c>
      <c r="I21" s="53">
        <v>20</v>
      </c>
      <c r="J21" s="53">
        <v>50</v>
      </c>
      <c r="K21" s="53">
        <v>20</v>
      </c>
      <c r="L21" s="53" t="s">
        <v>97</v>
      </c>
      <c r="M21" s="53" t="s">
        <v>97</v>
      </c>
    </row>
    <row r="22" spans="6:14" x14ac:dyDescent="0.25">
      <c r="G22" s="53">
        <v>100</v>
      </c>
      <c r="H22" s="53" t="s">
        <v>98</v>
      </c>
      <c r="I22" s="53">
        <v>0</v>
      </c>
      <c r="J22" s="53">
        <v>20</v>
      </c>
      <c r="K22" s="53">
        <v>0</v>
      </c>
      <c r="L22" s="53" t="s">
        <v>97</v>
      </c>
      <c r="M22" s="53" t="s">
        <v>97</v>
      </c>
    </row>
    <row r="23" spans="6:14" x14ac:dyDescent="0.25">
      <c r="G23" s="48">
        <v>100</v>
      </c>
      <c r="H23" s="48" t="s">
        <v>118</v>
      </c>
      <c r="I23" s="53">
        <v>0</v>
      </c>
      <c r="J23" s="53">
        <v>30</v>
      </c>
      <c r="K23" s="53">
        <v>20</v>
      </c>
      <c r="L23" s="59">
        <f>40/7</f>
        <v>5.7142857142857144</v>
      </c>
      <c r="M23" s="48">
        <f>100-30-20-5.71</f>
        <v>44.29</v>
      </c>
    </row>
    <row r="24" spans="6:14" x14ac:dyDescent="0.25">
      <c r="G24" s="48">
        <v>800</v>
      </c>
      <c r="H24" s="48" t="s">
        <v>119</v>
      </c>
      <c r="I24" s="53" t="s">
        <v>97</v>
      </c>
      <c r="J24" s="53" t="s">
        <v>97</v>
      </c>
      <c r="K24" s="53" t="s">
        <v>97</v>
      </c>
      <c r="L24" s="59">
        <f>30/7</f>
        <v>4.2857142857142856</v>
      </c>
      <c r="M24" s="48">
        <f>40-4.29</f>
        <v>35.71</v>
      </c>
    </row>
    <row r="25" spans="6:14" x14ac:dyDescent="0.25">
      <c r="G25" s="48">
        <v>800</v>
      </c>
      <c r="H25" s="48">
        <v>10</v>
      </c>
      <c r="I25" s="53" t="s">
        <v>97</v>
      </c>
      <c r="J25" s="53" t="s">
        <v>97</v>
      </c>
      <c r="K25" s="53" t="s">
        <v>97</v>
      </c>
      <c r="L25" s="53">
        <v>0</v>
      </c>
      <c r="M25" s="48">
        <v>10</v>
      </c>
    </row>
  </sheetData>
  <mergeCells count="1">
    <mergeCell ref="F5:N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S34"/>
  <sheetViews>
    <sheetView topLeftCell="C1" workbookViewId="0">
      <selection activeCell="F7" sqref="F7:N19"/>
    </sheetView>
  </sheetViews>
  <sheetFormatPr defaultRowHeight="15" x14ac:dyDescent="0.25"/>
  <cols>
    <col min="5" max="5" width="8.7109375" bestFit="1" customWidth="1"/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  <col min="16" max="16" width="10.85546875" bestFit="1" customWidth="1"/>
  </cols>
  <sheetData>
    <row r="5" spans="6:16" x14ac:dyDescent="0.25">
      <c r="F5" s="119" t="s">
        <v>72</v>
      </c>
      <c r="G5" s="119"/>
      <c r="H5" s="119"/>
      <c r="I5" s="119"/>
      <c r="J5" s="119"/>
      <c r="K5" s="119"/>
      <c r="L5" s="119"/>
      <c r="M5" s="119"/>
      <c r="N5" s="119"/>
    </row>
    <row r="7" spans="6:16" x14ac:dyDescent="0.25">
      <c r="F7" s="44" t="s">
        <v>39</v>
      </c>
      <c r="G7" s="44"/>
      <c r="H7" s="44"/>
      <c r="I7" s="44"/>
      <c r="J7" s="44"/>
      <c r="K7" s="44" t="s">
        <v>44</v>
      </c>
      <c r="L7" s="44"/>
      <c r="M7" s="44"/>
      <c r="N7" s="44"/>
    </row>
    <row r="8" spans="6:16" x14ac:dyDescent="0.25">
      <c r="F8" s="44"/>
      <c r="G8" s="44"/>
      <c r="H8" s="44"/>
      <c r="I8" s="44"/>
      <c r="J8" s="44"/>
      <c r="K8" s="44"/>
      <c r="L8" s="44"/>
      <c r="M8" s="44"/>
      <c r="N8" s="44"/>
    </row>
    <row r="9" spans="6:16" x14ac:dyDescent="0.25">
      <c r="F9" s="44" t="s">
        <v>40</v>
      </c>
      <c r="G9" s="44" t="s">
        <v>41</v>
      </c>
      <c r="H9" s="44" t="s">
        <v>42</v>
      </c>
      <c r="I9" s="44" t="s">
        <v>43</v>
      </c>
      <c r="J9" s="44"/>
      <c r="K9" s="44" t="s">
        <v>40</v>
      </c>
      <c r="L9" s="44" t="s">
        <v>41</v>
      </c>
      <c r="M9" s="44" t="s">
        <v>42</v>
      </c>
      <c r="N9" s="44" t="s">
        <v>43</v>
      </c>
    </row>
    <row r="10" spans="6:16" x14ac:dyDescent="0.25">
      <c r="F10" s="44" t="s">
        <v>7</v>
      </c>
      <c r="G10" s="44" t="s">
        <v>8</v>
      </c>
      <c r="H10" s="44" t="s">
        <v>11</v>
      </c>
      <c r="I10" s="44" t="s">
        <v>10</v>
      </c>
      <c r="J10" s="44"/>
      <c r="K10" s="44" t="s">
        <v>7</v>
      </c>
      <c r="L10" s="44" t="s">
        <v>8</v>
      </c>
      <c r="M10" s="44" t="s">
        <v>11</v>
      </c>
      <c r="N10" s="44" t="s">
        <v>10</v>
      </c>
    </row>
    <row r="11" spans="6:16" x14ac:dyDescent="0.25">
      <c r="F11" s="44"/>
      <c r="G11" s="44"/>
      <c r="H11" s="44"/>
      <c r="I11" s="44"/>
      <c r="J11" s="44"/>
      <c r="K11" s="44"/>
      <c r="L11" s="44"/>
      <c r="M11" s="44"/>
      <c r="N11" s="44"/>
    </row>
    <row r="12" spans="6:16" x14ac:dyDescent="0.25">
      <c r="F12" s="44">
        <v>1</v>
      </c>
      <c r="G12" s="44" t="s">
        <v>62</v>
      </c>
      <c r="H12" s="44">
        <v>70</v>
      </c>
      <c r="I12" s="44">
        <v>0</v>
      </c>
      <c r="J12" s="44"/>
      <c r="K12" s="44">
        <v>1</v>
      </c>
      <c r="L12" s="44" t="s">
        <v>62</v>
      </c>
      <c r="M12" s="44">
        <v>70</v>
      </c>
      <c r="N12" s="44">
        <v>1570</v>
      </c>
      <c r="P12" t="s">
        <v>96</v>
      </c>
    </row>
    <row r="13" spans="6:16" x14ac:dyDescent="0.25">
      <c r="F13" s="44">
        <v>2</v>
      </c>
      <c r="G13" s="44" t="s">
        <v>63</v>
      </c>
      <c r="H13" s="44">
        <v>75.92</v>
      </c>
      <c r="I13" s="44">
        <v>442</v>
      </c>
      <c r="J13" s="44"/>
      <c r="K13" s="44">
        <v>2</v>
      </c>
      <c r="L13" s="44" t="s">
        <v>63</v>
      </c>
      <c r="M13" s="44">
        <v>75.92</v>
      </c>
      <c r="N13" s="44">
        <v>1695</v>
      </c>
    </row>
    <row r="14" spans="6:16" x14ac:dyDescent="0.25">
      <c r="F14" s="44">
        <v>3</v>
      </c>
      <c r="G14" s="44" t="s">
        <v>64</v>
      </c>
      <c r="H14" s="44">
        <v>56.58</v>
      </c>
      <c r="I14" s="44">
        <v>1596</v>
      </c>
      <c r="J14" s="44"/>
      <c r="K14" s="44">
        <v>3</v>
      </c>
      <c r="L14" s="44" t="s">
        <v>64</v>
      </c>
      <c r="M14" s="44">
        <v>56.58</v>
      </c>
      <c r="N14" s="44">
        <v>8474</v>
      </c>
    </row>
    <row r="15" spans="6:16" x14ac:dyDescent="0.25">
      <c r="F15" s="44">
        <v>4</v>
      </c>
      <c r="G15" s="44" t="s">
        <v>65</v>
      </c>
      <c r="H15" s="44">
        <v>71.540000000000006</v>
      </c>
      <c r="I15" s="44">
        <v>1950</v>
      </c>
      <c r="J15" s="44"/>
      <c r="K15" s="44">
        <v>4</v>
      </c>
      <c r="L15" s="44" t="s">
        <v>65</v>
      </c>
      <c r="M15" s="44">
        <v>71.540000000000006</v>
      </c>
      <c r="N15" s="44">
        <v>9010</v>
      </c>
    </row>
    <row r="16" spans="6:16" x14ac:dyDescent="0.25">
      <c r="F16" s="44">
        <v>5</v>
      </c>
      <c r="G16" s="44" t="s">
        <v>66</v>
      </c>
      <c r="H16" s="44">
        <v>42.64</v>
      </c>
      <c r="I16" s="44">
        <v>857</v>
      </c>
      <c r="J16" s="44"/>
      <c r="K16" s="44">
        <v>5</v>
      </c>
      <c r="L16" s="44" t="s">
        <v>66</v>
      </c>
      <c r="M16" s="44">
        <v>42.64</v>
      </c>
      <c r="N16" s="44">
        <v>1464</v>
      </c>
    </row>
    <row r="17" spans="4:19" x14ac:dyDescent="0.25">
      <c r="F17" s="44">
        <v>6</v>
      </c>
      <c r="G17" s="44" t="s">
        <v>67</v>
      </c>
      <c r="H17" s="44">
        <v>13.46</v>
      </c>
      <c r="I17" s="44">
        <v>990</v>
      </c>
      <c r="J17" s="44"/>
      <c r="K17" s="44">
        <v>6</v>
      </c>
      <c r="L17" s="44" t="s">
        <v>67</v>
      </c>
      <c r="M17" s="44">
        <v>13.46</v>
      </c>
      <c r="N17" s="44">
        <v>9684</v>
      </c>
    </row>
    <row r="18" spans="4:19" x14ac:dyDescent="0.25">
      <c r="F18" s="44"/>
      <c r="G18" s="44"/>
      <c r="H18" s="44"/>
      <c r="I18" s="44"/>
      <c r="J18" s="44"/>
      <c r="K18" s="44"/>
      <c r="L18" s="44"/>
      <c r="M18" s="44"/>
      <c r="N18" s="44"/>
    </row>
    <row r="19" spans="4:19" x14ac:dyDescent="0.25">
      <c r="F19" s="44"/>
      <c r="G19" s="44"/>
      <c r="H19" s="44"/>
      <c r="I19" s="44"/>
      <c r="J19" s="44"/>
      <c r="K19" s="44"/>
      <c r="L19" s="44"/>
      <c r="M19" s="44"/>
      <c r="N19" s="44"/>
    </row>
    <row r="21" spans="4:19" x14ac:dyDescent="0.25"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</row>
    <row r="22" spans="4:19" x14ac:dyDescent="0.25">
      <c r="D22" s="49"/>
      <c r="E22" s="49"/>
      <c r="F22" s="49"/>
      <c r="G22" s="49"/>
      <c r="H22" s="50"/>
      <c r="I22" s="50"/>
      <c r="J22" s="50"/>
      <c r="K22" s="50"/>
      <c r="L22" s="50"/>
      <c r="M22" s="50"/>
      <c r="N22" s="50"/>
      <c r="O22" s="49"/>
      <c r="P22" s="49"/>
      <c r="Q22" s="49"/>
      <c r="R22" s="49"/>
      <c r="S22" s="49"/>
    </row>
    <row r="23" spans="4:19" x14ac:dyDescent="0.25">
      <c r="D23" s="49"/>
      <c r="E23" s="49"/>
      <c r="F23" s="49"/>
      <c r="G23" s="49"/>
      <c r="H23" s="50"/>
      <c r="I23" s="50"/>
      <c r="J23" s="50"/>
      <c r="K23" s="50"/>
      <c r="L23" s="50"/>
      <c r="M23" s="50"/>
      <c r="N23" s="50"/>
      <c r="O23" s="49"/>
      <c r="P23" s="49"/>
      <c r="Q23" s="49"/>
      <c r="R23" s="49"/>
      <c r="S23" s="49"/>
    </row>
    <row r="24" spans="4:19" x14ac:dyDescent="0.25"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49"/>
      <c r="P24" s="49"/>
      <c r="Q24" s="49"/>
      <c r="R24" s="49"/>
      <c r="S24" s="49"/>
    </row>
    <row r="25" spans="4:19" x14ac:dyDescent="0.25">
      <c r="D25" s="49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49"/>
      <c r="P25" s="49"/>
      <c r="Q25" s="49"/>
      <c r="R25" s="49"/>
      <c r="S25" s="49"/>
    </row>
    <row r="26" spans="4:19" x14ac:dyDescent="0.25">
      <c r="D26" s="50"/>
      <c r="E26" s="50"/>
      <c r="F26" s="50"/>
      <c r="G26" s="50"/>
      <c r="H26" s="51"/>
      <c r="I26" s="51"/>
      <c r="J26" s="51"/>
      <c r="K26" s="51"/>
      <c r="L26" s="50"/>
      <c r="M26" s="50"/>
      <c r="N26" s="50"/>
      <c r="O26" s="49"/>
      <c r="P26" s="49"/>
      <c r="Q26" s="49"/>
      <c r="R26" s="49"/>
      <c r="S26" s="49"/>
    </row>
    <row r="27" spans="4:19" x14ac:dyDescent="0.25">
      <c r="D27" s="50"/>
      <c r="E27" s="50"/>
      <c r="F27" s="50"/>
      <c r="G27" s="50"/>
      <c r="H27" s="51"/>
      <c r="I27" s="51"/>
      <c r="J27" s="51"/>
      <c r="K27" s="51"/>
      <c r="L27" s="50"/>
      <c r="M27" s="50"/>
      <c r="N27" s="50"/>
      <c r="O27" s="49"/>
      <c r="P27" s="49"/>
      <c r="Q27" s="49"/>
      <c r="R27" s="49"/>
      <c r="S27" s="49"/>
    </row>
    <row r="28" spans="4:19" x14ac:dyDescent="0.25">
      <c r="D28" s="50"/>
      <c r="E28" s="50"/>
      <c r="F28" s="50"/>
      <c r="G28" s="50"/>
      <c r="H28" s="51"/>
      <c r="I28" s="51"/>
      <c r="J28" s="51"/>
      <c r="K28" s="51"/>
      <c r="L28" s="51"/>
      <c r="M28" s="51"/>
      <c r="N28" s="51"/>
      <c r="O28" s="49"/>
      <c r="P28" s="49"/>
      <c r="Q28" s="49"/>
      <c r="R28" s="49"/>
      <c r="S28" s="49"/>
    </row>
    <row r="29" spans="4:19" x14ac:dyDescent="0.25">
      <c r="D29" s="50"/>
      <c r="E29" s="50"/>
      <c r="F29" s="50"/>
      <c r="G29" s="50"/>
      <c r="H29" s="50"/>
      <c r="I29" s="50"/>
      <c r="J29" s="50"/>
      <c r="K29" s="50"/>
      <c r="L29" s="51"/>
      <c r="M29" s="51"/>
      <c r="N29" s="51"/>
      <c r="O29" s="49"/>
      <c r="P29" s="49"/>
      <c r="Q29" s="49"/>
      <c r="R29" s="49"/>
      <c r="S29" s="49"/>
    </row>
    <row r="30" spans="4:19" x14ac:dyDescent="0.25">
      <c r="D30" s="50"/>
      <c r="E30" s="50"/>
      <c r="F30" s="50"/>
      <c r="G30" s="50"/>
      <c r="H30" s="50"/>
      <c r="I30" s="50"/>
      <c r="J30" s="50"/>
      <c r="K30" s="50"/>
      <c r="L30" s="51"/>
      <c r="M30" s="51"/>
      <c r="N30" s="51"/>
      <c r="O30" s="49"/>
      <c r="P30" s="49"/>
      <c r="Q30" s="49"/>
      <c r="R30" s="49"/>
      <c r="S30" s="49"/>
    </row>
    <row r="31" spans="4:19" x14ac:dyDescent="0.25">
      <c r="D31" s="50"/>
      <c r="E31" s="50"/>
      <c r="F31" s="50"/>
      <c r="G31" s="50"/>
      <c r="H31" s="50"/>
      <c r="I31" s="50"/>
      <c r="J31" s="50"/>
      <c r="K31" s="50"/>
      <c r="L31" s="51"/>
      <c r="M31" s="51"/>
      <c r="N31" s="51"/>
      <c r="O31" s="49"/>
      <c r="P31" s="49"/>
      <c r="Q31" s="49"/>
      <c r="R31" s="49"/>
      <c r="S31" s="49"/>
    </row>
    <row r="32" spans="4:19" x14ac:dyDescent="0.25">
      <c r="D32" s="50"/>
      <c r="E32" s="50"/>
      <c r="F32" s="50"/>
      <c r="G32" s="50"/>
      <c r="H32" s="50"/>
      <c r="I32" s="50"/>
      <c r="J32" s="50"/>
      <c r="K32" s="50"/>
      <c r="L32" s="51"/>
      <c r="M32" s="51"/>
      <c r="N32" s="51"/>
      <c r="O32" s="49"/>
      <c r="P32" s="49"/>
      <c r="Q32" s="49"/>
      <c r="R32" s="49"/>
      <c r="S32" s="49"/>
    </row>
    <row r="33" spans="4:19" x14ac:dyDescent="0.25"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</row>
    <row r="34" spans="4:19" x14ac:dyDescent="0.25"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</row>
  </sheetData>
  <mergeCells count="1">
    <mergeCell ref="F5:N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5:N19"/>
  <sheetViews>
    <sheetView workbookViewId="0">
      <selection activeCell="F5" sqref="F5:N15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5" spans="6:14" x14ac:dyDescent="0.25">
      <c r="F5" s="61" t="s">
        <v>39</v>
      </c>
      <c r="G5" s="61"/>
      <c r="H5" s="61"/>
      <c r="I5" s="61"/>
      <c r="J5" s="61"/>
      <c r="K5" s="61" t="s">
        <v>44</v>
      </c>
      <c r="L5" s="61"/>
      <c r="M5" s="61"/>
      <c r="N5" s="61"/>
    </row>
    <row r="6" spans="6:14" x14ac:dyDescent="0.25">
      <c r="F6" s="60"/>
      <c r="G6" s="60"/>
      <c r="H6" s="60"/>
      <c r="I6" s="60"/>
      <c r="J6" s="60"/>
      <c r="K6" s="60"/>
      <c r="L6" s="60"/>
      <c r="M6" s="60"/>
      <c r="N6" s="60"/>
    </row>
    <row r="7" spans="6:14" x14ac:dyDescent="0.25">
      <c r="F7" s="52" t="s">
        <v>40</v>
      </c>
      <c r="G7" s="52" t="s">
        <v>41</v>
      </c>
      <c r="H7" s="52" t="s">
        <v>42</v>
      </c>
      <c r="I7" s="52" t="s">
        <v>43</v>
      </c>
      <c r="J7" s="52"/>
      <c r="K7" s="52" t="s">
        <v>40</v>
      </c>
      <c r="L7" s="52" t="s">
        <v>41</v>
      </c>
      <c r="M7" s="52" t="s">
        <v>42</v>
      </c>
      <c r="N7" s="52" t="s">
        <v>43</v>
      </c>
    </row>
    <row r="8" spans="6:14" x14ac:dyDescent="0.25">
      <c r="F8" s="52" t="s">
        <v>7</v>
      </c>
      <c r="G8" s="52" t="s">
        <v>8</v>
      </c>
      <c r="H8" s="52" t="s">
        <v>11</v>
      </c>
      <c r="I8" s="52" t="s">
        <v>10</v>
      </c>
      <c r="J8" s="52"/>
      <c r="K8" s="52" t="s">
        <v>7</v>
      </c>
      <c r="L8" s="52" t="s">
        <v>8</v>
      </c>
      <c r="M8" s="52" t="s">
        <v>11</v>
      </c>
      <c r="N8" s="52" t="s">
        <v>10</v>
      </c>
    </row>
    <row r="9" spans="6:14" x14ac:dyDescent="0.25">
      <c r="F9" s="52"/>
      <c r="G9" s="52"/>
      <c r="H9" s="52"/>
      <c r="I9" s="52"/>
      <c r="J9" s="52"/>
      <c r="K9" s="52"/>
      <c r="L9" s="52"/>
      <c r="M9" s="52"/>
      <c r="N9" s="52"/>
    </row>
    <row r="10" spans="6:14" x14ac:dyDescent="0.25">
      <c r="F10" s="52">
        <v>1</v>
      </c>
      <c r="G10" s="52" t="s">
        <v>62</v>
      </c>
      <c r="H10" s="52">
        <v>36.363999999999997</v>
      </c>
      <c r="I10" s="52">
        <v>25</v>
      </c>
      <c r="J10" s="52"/>
      <c r="K10" s="52">
        <v>1</v>
      </c>
      <c r="L10" s="52" t="s">
        <v>62</v>
      </c>
      <c r="M10" s="52">
        <v>36.363999999999997</v>
      </c>
      <c r="N10" s="52">
        <v>80</v>
      </c>
    </row>
    <row r="11" spans="6:14" x14ac:dyDescent="0.25">
      <c r="F11" s="52">
        <v>2</v>
      </c>
      <c r="G11" s="52" t="s">
        <v>63</v>
      </c>
      <c r="H11" s="52">
        <v>66.667000000000002</v>
      </c>
      <c r="I11" s="52">
        <v>25</v>
      </c>
      <c r="J11" s="52"/>
      <c r="K11" s="52">
        <v>2</v>
      </c>
      <c r="L11" s="52" t="s">
        <v>63</v>
      </c>
      <c r="M11" s="52">
        <v>66.667000000000002</v>
      </c>
      <c r="N11" s="52">
        <v>100</v>
      </c>
    </row>
    <row r="12" spans="6:14" x14ac:dyDescent="0.25">
      <c r="F12" s="52">
        <v>3</v>
      </c>
      <c r="G12" s="52" t="s">
        <v>64</v>
      </c>
      <c r="H12" s="52">
        <v>22.856999999999999</v>
      </c>
      <c r="I12" s="52">
        <v>25</v>
      </c>
      <c r="J12" s="52"/>
      <c r="K12" s="52">
        <v>3</v>
      </c>
      <c r="L12" s="52" t="s">
        <v>64</v>
      </c>
      <c r="M12" s="52">
        <v>22.856999999999999</v>
      </c>
      <c r="N12" s="52">
        <v>200</v>
      </c>
    </row>
    <row r="13" spans="6:14" x14ac:dyDescent="0.25">
      <c r="F13" s="52">
        <v>4</v>
      </c>
      <c r="G13" s="52" t="s">
        <v>65</v>
      </c>
      <c r="H13" s="52">
        <v>100</v>
      </c>
      <c r="I13" s="52">
        <v>50</v>
      </c>
      <c r="J13" s="52"/>
      <c r="K13" s="52">
        <v>4</v>
      </c>
      <c r="L13" s="52" t="s">
        <v>65</v>
      </c>
      <c r="M13" s="52">
        <v>100</v>
      </c>
      <c r="N13" s="52">
        <v>100</v>
      </c>
    </row>
    <row r="14" spans="6:14" x14ac:dyDescent="0.25">
      <c r="F14" s="52">
        <v>5</v>
      </c>
      <c r="G14" s="52" t="s">
        <v>66</v>
      </c>
      <c r="H14" s="52">
        <v>40</v>
      </c>
      <c r="I14" s="52">
        <v>50</v>
      </c>
      <c r="J14" s="52"/>
      <c r="K14" s="52">
        <v>5</v>
      </c>
      <c r="L14" s="52" t="s">
        <v>66</v>
      </c>
      <c r="M14" s="52">
        <v>40</v>
      </c>
      <c r="N14" s="52">
        <v>800</v>
      </c>
    </row>
    <row r="15" spans="6:14" x14ac:dyDescent="0.25">
      <c r="F15" s="45">
        <v>6</v>
      </c>
      <c r="G15" s="45" t="s">
        <v>67</v>
      </c>
      <c r="H15" s="45">
        <v>10</v>
      </c>
      <c r="I15" s="45">
        <v>400</v>
      </c>
      <c r="J15" s="45"/>
      <c r="K15" s="45">
        <v>6</v>
      </c>
      <c r="L15" s="45" t="s">
        <v>67</v>
      </c>
      <c r="M15" s="45">
        <v>10</v>
      </c>
      <c r="N15" s="45">
        <v>800</v>
      </c>
    </row>
    <row r="16" spans="6:14" x14ac:dyDescent="0.25">
      <c r="F16" s="46"/>
      <c r="G16" s="46"/>
      <c r="H16" s="46"/>
      <c r="I16" s="46"/>
      <c r="J16" s="46"/>
      <c r="K16" s="46"/>
      <c r="L16" s="46"/>
      <c r="M16" s="46"/>
      <c r="N16" s="46"/>
    </row>
    <row r="17" spans="6:14" x14ac:dyDescent="0.25">
      <c r="F17" s="18"/>
      <c r="G17" s="18"/>
      <c r="H17" s="18"/>
      <c r="I17" s="18"/>
      <c r="J17" s="18"/>
      <c r="K17" s="18"/>
      <c r="L17" s="18"/>
      <c r="M17" s="18"/>
      <c r="N17" s="18"/>
    </row>
    <row r="18" spans="6:14" x14ac:dyDescent="0.25">
      <c r="F18" s="18"/>
      <c r="G18" s="18"/>
      <c r="H18" s="18"/>
      <c r="I18" s="18"/>
      <c r="J18" s="18"/>
      <c r="K18" s="18"/>
      <c r="L18" s="18"/>
      <c r="M18" s="18"/>
      <c r="N18" s="18"/>
    </row>
    <row r="19" spans="6:14" x14ac:dyDescent="0.25">
      <c r="F19" s="18"/>
      <c r="G19" s="18"/>
      <c r="H19" s="18"/>
      <c r="I19" s="18"/>
      <c r="J19" s="18"/>
      <c r="K19" s="18"/>
      <c r="L19" s="18"/>
      <c r="M19" s="18"/>
      <c r="N19" s="1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N19"/>
  <sheetViews>
    <sheetView workbookViewId="0">
      <selection activeCell="I20" sqref="I20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1" max="11" width="10.85546875" bestFit="1" customWidth="1"/>
    <col min="12" max="12" width="13.140625" bestFit="1" customWidth="1"/>
    <col min="13" max="13" width="9.7109375" bestFit="1" customWidth="1"/>
    <col min="14" max="14" width="13.7109375" bestFit="1" customWidth="1"/>
  </cols>
  <sheetData>
    <row r="4" spans="6:14" x14ac:dyDescent="0.25">
      <c r="F4" s="62" t="s">
        <v>39</v>
      </c>
      <c r="G4" s="62"/>
      <c r="H4" s="62"/>
      <c r="I4" s="62"/>
      <c r="J4" s="62"/>
      <c r="K4" s="62" t="s">
        <v>44</v>
      </c>
      <c r="L4" s="62"/>
      <c r="M4" s="62"/>
      <c r="N4" s="62"/>
    </row>
    <row r="5" spans="6:14" x14ac:dyDescent="0.25">
      <c r="F5" s="119"/>
      <c r="G5" s="119"/>
      <c r="H5" s="119"/>
      <c r="I5" s="119"/>
      <c r="J5" s="119"/>
      <c r="K5" s="119"/>
      <c r="L5" s="119"/>
      <c r="M5" s="119"/>
      <c r="N5" s="119"/>
    </row>
    <row r="6" spans="6:14" x14ac:dyDescent="0.25">
      <c r="F6" s="60" t="s">
        <v>40</v>
      </c>
      <c r="G6" s="60" t="s">
        <v>41</v>
      </c>
      <c r="H6" s="60" t="s">
        <v>42</v>
      </c>
      <c r="I6" s="60" t="s">
        <v>43</v>
      </c>
      <c r="J6" s="60"/>
      <c r="K6" s="60" t="s">
        <v>40</v>
      </c>
      <c r="L6" s="60" t="s">
        <v>41</v>
      </c>
      <c r="M6" s="60" t="s">
        <v>42</v>
      </c>
      <c r="N6" s="60" t="s">
        <v>43</v>
      </c>
    </row>
    <row r="7" spans="6:14" x14ac:dyDescent="0.25">
      <c r="F7" s="52" t="s">
        <v>7</v>
      </c>
      <c r="G7" s="52" t="s">
        <v>8</v>
      </c>
      <c r="H7" s="52" t="s">
        <v>11</v>
      </c>
      <c r="I7" s="52" t="s">
        <v>10</v>
      </c>
      <c r="J7" s="52"/>
      <c r="K7" s="52" t="s">
        <v>7</v>
      </c>
      <c r="L7" s="52" t="s">
        <v>8</v>
      </c>
      <c r="M7" s="52" t="s">
        <v>11</v>
      </c>
      <c r="N7" s="52" t="s">
        <v>10</v>
      </c>
    </row>
    <row r="8" spans="6:14" x14ac:dyDescent="0.25">
      <c r="F8" s="52"/>
      <c r="G8" s="52"/>
      <c r="H8" s="52"/>
      <c r="I8" s="52"/>
      <c r="J8" s="52"/>
      <c r="K8" s="52"/>
      <c r="L8" s="52"/>
      <c r="M8" s="52"/>
      <c r="N8" s="52"/>
    </row>
    <row r="9" spans="6:14" x14ac:dyDescent="0.25">
      <c r="F9" s="52">
        <v>1</v>
      </c>
      <c r="G9" s="52" t="s">
        <v>62</v>
      </c>
      <c r="H9" s="52">
        <v>20</v>
      </c>
      <c r="I9" s="52">
        <v>0</v>
      </c>
      <c r="J9" s="52"/>
      <c r="K9" s="52">
        <v>1</v>
      </c>
      <c r="L9" s="52" t="s">
        <v>62</v>
      </c>
      <c r="M9" s="52">
        <v>20</v>
      </c>
      <c r="N9" s="52">
        <v>100</v>
      </c>
    </row>
    <row r="10" spans="6:14" x14ac:dyDescent="0.25">
      <c r="F10" s="52">
        <v>2</v>
      </c>
      <c r="G10" s="52" t="s">
        <v>63</v>
      </c>
      <c r="H10" s="52">
        <v>100</v>
      </c>
      <c r="I10" s="52">
        <v>50</v>
      </c>
      <c r="J10" s="52"/>
      <c r="K10" s="52">
        <v>2</v>
      </c>
      <c r="L10" s="52" t="s">
        <v>63</v>
      </c>
      <c r="M10" s="52">
        <v>100</v>
      </c>
      <c r="N10" s="52">
        <v>100</v>
      </c>
    </row>
    <row r="11" spans="6:14" x14ac:dyDescent="0.25">
      <c r="F11" s="52">
        <v>3</v>
      </c>
      <c r="G11" s="52" t="s">
        <v>64</v>
      </c>
      <c r="H11" s="52">
        <v>40</v>
      </c>
      <c r="I11" s="52">
        <v>50</v>
      </c>
      <c r="J11" s="52"/>
      <c r="K11" s="52">
        <v>3</v>
      </c>
      <c r="L11" s="52" t="s">
        <v>64</v>
      </c>
      <c r="M11" s="52">
        <v>40</v>
      </c>
      <c r="N11" s="52">
        <v>800</v>
      </c>
    </row>
    <row r="12" spans="6:14" x14ac:dyDescent="0.25">
      <c r="F12" s="52">
        <v>4</v>
      </c>
      <c r="G12" s="52" t="s">
        <v>65</v>
      </c>
      <c r="H12" s="52">
        <v>10</v>
      </c>
      <c r="I12" s="52">
        <v>400</v>
      </c>
      <c r="J12" s="52"/>
      <c r="K12" s="52">
        <v>4</v>
      </c>
      <c r="L12" s="52" t="s">
        <v>65</v>
      </c>
      <c r="M12" s="52">
        <v>10</v>
      </c>
      <c r="N12" s="52">
        <v>800</v>
      </c>
    </row>
    <row r="13" spans="6:14" x14ac:dyDescent="0.25">
      <c r="F13" s="52">
        <v>5</v>
      </c>
      <c r="G13" s="52" t="s">
        <v>66</v>
      </c>
      <c r="H13" s="52">
        <v>50</v>
      </c>
      <c r="I13" s="52">
        <v>20</v>
      </c>
      <c r="J13" s="52"/>
      <c r="K13" s="52">
        <v>9</v>
      </c>
      <c r="L13" s="52" t="s">
        <v>92</v>
      </c>
      <c r="M13" s="52">
        <v>50</v>
      </c>
      <c r="N13" s="52">
        <v>50</v>
      </c>
    </row>
    <row r="14" spans="6:14" x14ac:dyDescent="0.25">
      <c r="F14" s="45">
        <v>6</v>
      </c>
      <c r="G14" s="45" t="s">
        <v>67</v>
      </c>
      <c r="H14" s="45">
        <v>100</v>
      </c>
      <c r="I14" s="45">
        <v>50</v>
      </c>
      <c r="J14" s="45"/>
      <c r="K14" s="45">
        <v>10</v>
      </c>
      <c r="L14" s="45" t="s">
        <v>93</v>
      </c>
      <c r="M14" s="45">
        <v>100</v>
      </c>
      <c r="N14" s="45">
        <v>100</v>
      </c>
    </row>
    <row r="15" spans="6:14" x14ac:dyDescent="0.25">
      <c r="F15" s="52">
        <v>7</v>
      </c>
      <c r="G15" s="52" t="s">
        <v>90</v>
      </c>
      <c r="H15" s="52">
        <v>80</v>
      </c>
      <c r="I15" s="52">
        <v>100</v>
      </c>
      <c r="J15" s="52"/>
      <c r="K15" s="52">
        <v>11</v>
      </c>
      <c r="L15" s="52" t="s">
        <v>94</v>
      </c>
      <c r="M15" s="52">
        <v>70</v>
      </c>
      <c r="N15" s="52">
        <v>150</v>
      </c>
    </row>
    <row r="16" spans="6:14" x14ac:dyDescent="0.25">
      <c r="F16" s="52">
        <v>8</v>
      </c>
      <c r="G16" s="52" t="s">
        <v>91</v>
      </c>
      <c r="H16" s="52">
        <v>70</v>
      </c>
      <c r="I16" s="52">
        <v>200</v>
      </c>
      <c r="J16" s="52"/>
      <c r="K16" s="52">
        <v>12</v>
      </c>
      <c r="L16" s="52" t="s">
        <v>95</v>
      </c>
      <c r="M16" s="52">
        <v>60</v>
      </c>
      <c r="N16" s="52">
        <v>250</v>
      </c>
    </row>
    <row r="17" spans="6:14" x14ac:dyDescent="0.25">
      <c r="F17" s="18"/>
      <c r="G17" s="18"/>
      <c r="H17" s="18"/>
      <c r="I17" s="18"/>
      <c r="J17" s="18"/>
      <c r="K17" s="18"/>
      <c r="L17" s="18"/>
      <c r="M17" s="18"/>
      <c r="N17" s="18"/>
    </row>
    <row r="18" spans="6:14" x14ac:dyDescent="0.25">
      <c r="F18" s="18"/>
      <c r="G18" s="18"/>
      <c r="H18" s="18"/>
      <c r="I18" s="18"/>
      <c r="J18" s="18"/>
      <c r="K18" s="18"/>
      <c r="L18" s="18"/>
      <c r="M18" s="18"/>
      <c r="N18" s="18"/>
    </row>
    <row r="19" spans="6:14" x14ac:dyDescent="0.25">
      <c r="F19" s="18"/>
      <c r="G19" s="18"/>
      <c r="H19" s="18"/>
      <c r="I19" s="18"/>
      <c r="J19" s="18"/>
      <c r="K19" s="18"/>
      <c r="L19" s="18"/>
      <c r="M19" s="18"/>
      <c r="N19" s="18"/>
    </row>
  </sheetData>
  <mergeCells count="1">
    <mergeCell ref="F5:N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3:U20"/>
  <sheetViews>
    <sheetView topLeftCell="F1" workbookViewId="0">
      <selection activeCell="F4" sqref="F4:Q7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0" max="10" width="13.7109375" customWidth="1"/>
    <col min="11" max="11" width="11" customWidth="1"/>
    <col min="12" max="12" width="10.85546875" bestFit="1" customWidth="1"/>
    <col min="13" max="13" width="13.140625" bestFit="1" customWidth="1"/>
    <col min="14" max="14" width="9.7109375" bestFit="1" customWidth="1"/>
    <col min="15" max="15" width="13.7109375" bestFit="1" customWidth="1"/>
    <col min="20" max="20" width="11.28515625" bestFit="1" customWidth="1"/>
    <col min="21" max="21" width="12.7109375" bestFit="1" customWidth="1"/>
  </cols>
  <sheetData>
    <row r="3" spans="6:21" ht="15.75" thickBot="1" x14ac:dyDescent="0.3"/>
    <row r="4" spans="6:21" ht="15.75" thickBot="1" x14ac:dyDescent="0.3">
      <c r="F4" s="115" t="s">
        <v>127</v>
      </c>
      <c r="G4" s="116"/>
      <c r="H4" s="116"/>
      <c r="I4" s="116"/>
      <c r="J4" s="116"/>
      <c r="K4" s="117"/>
      <c r="L4" s="115" t="s">
        <v>126</v>
      </c>
      <c r="M4" s="116"/>
      <c r="N4" s="116"/>
      <c r="O4" s="116"/>
      <c r="P4" s="116"/>
      <c r="Q4" s="117"/>
    </row>
    <row r="5" spans="6:21" ht="15.75" thickBot="1" x14ac:dyDescent="0.3">
      <c r="F5" s="115"/>
      <c r="G5" s="116"/>
      <c r="H5" s="116"/>
      <c r="I5" s="116"/>
      <c r="J5" s="116"/>
      <c r="K5" s="117"/>
      <c r="L5" s="115"/>
      <c r="M5" s="116"/>
      <c r="N5" s="116"/>
      <c r="O5" s="116"/>
      <c r="P5" s="116"/>
      <c r="Q5" s="117"/>
      <c r="S5" s="24" t="s">
        <v>121</v>
      </c>
      <c r="T5" s="83" t="s">
        <v>122</v>
      </c>
      <c r="U5" s="87" t="s">
        <v>123</v>
      </c>
    </row>
    <row r="6" spans="6:21" x14ac:dyDescent="0.25">
      <c r="F6" s="63" t="s">
        <v>40</v>
      </c>
      <c r="G6" s="64" t="s">
        <v>41</v>
      </c>
      <c r="H6" s="64" t="s">
        <v>42</v>
      </c>
      <c r="I6" s="64" t="s">
        <v>43</v>
      </c>
      <c r="J6" s="71" t="s">
        <v>35</v>
      </c>
      <c r="K6" s="65" t="s">
        <v>120</v>
      </c>
      <c r="L6" s="63" t="s">
        <v>40</v>
      </c>
      <c r="M6" s="64" t="s">
        <v>41</v>
      </c>
      <c r="N6" s="64" t="s">
        <v>42</v>
      </c>
      <c r="O6" s="64" t="s">
        <v>43</v>
      </c>
      <c r="P6" s="78" t="s">
        <v>35</v>
      </c>
      <c r="Q6" s="74" t="s">
        <v>120</v>
      </c>
      <c r="S6" s="80"/>
      <c r="T6" s="84"/>
      <c r="U6" s="86"/>
    </row>
    <row r="7" spans="6:21" x14ac:dyDescent="0.25">
      <c r="F7" s="66" t="s">
        <v>7</v>
      </c>
      <c r="G7" s="89" t="s">
        <v>8</v>
      </c>
      <c r="H7" s="89" t="s">
        <v>11</v>
      </c>
      <c r="I7" s="89" t="s">
        <v>10</v>
      </c>
      <c r="J7" s="90" t="s">
        <v>125</v>
      </c>
      <c r="K7" s="67" t="s">
        <v>124</v>
      </c>
      <c r="L7" s="66" t="s">
        <v>7</v>
      </c>
      <c r="M7" s="91" t="s">
        <v>125</v>
      </c>
      <c r="N7" s="89" t="s">
        <v>11</v>
      </c>
      <c r="O7" s="89" t="s">
        <v>10</v>
      </c>
      <c r="P7" s="90" t="s">
        <v>125</v>
      </c>
      <c r="Q7" s="67" t="s">
        <v>124</v>
      </c>
      <c r="S7" s="81"/>
      <c r="T7" s="81"/>
      <c r="U7" s="85"/>
    </row>
    <row r="8" spans="6:21" x14ac:dyDescent="0.25">
      <c r="F8" s="66"/>
      <c r="G8" s="89"/>
      <c r="H8" s="89"/>
      <c r="I8" s="89"/>
      <c r="J8" s="72"/>
      <c r="K8" s="67"/>
      <c r="L8" s="66"/>
      <c r="M8" s="89"/>
      <c r="N8" s="89"/>
      <c r="O8" s="89"/>
      <c r="P8" s="72"/>
      <c r="Q8" s="67"/>
      <c r="S8" s="81"/>
      <c r="T8" s="81"/>
      <c r="U8" s="85"/>
    </row>
    <row r="9" spans="6:21" x14ac:dyDescent="0.25">
      <c r="F9" s="66">
        <v>1</v>
      </c>
      <c r="G9" s="89" t="s">
        <v>62</v>
      </c>
      <c r="H9" s="89">
        <v>40</v>
      </c>
      <c r="I9" s="89">
        <v>20</v>
      </c>
      <c r="J9" s="72" t="s">
        <v>37</v>
      </c>
      <c r="K9" s="67"/>
      <c r="L9" s="66">
        <v>1</v>
      </c>
      <c r="M9" s="89" t="s">
        <v>62</v>
      </c>
      <c r="N9" s="89">
        <v>30</v>
      </c>
      <c r="O9" s="89">
        <v>60</v>
      </c>
      <c r="P9" s="72" t="s">
        <v>37</v>
      </c>
      <c r="Q9" s="67"/>
      <c r="S9" s="81">
        <f t="shared" ref="S9:S15" si="0">H9-N9</f>
        <v>10</v>
      </c>
      <c r="T9" s="81"/>
      <c r="U9" s="85"/>
    </row>
    <row r="10" spans="6:21" x14ac:dyDescent="0.25">
      <c r="F10" s="66">
        <v>2</v>
      </c>
      <c r="G10" s="89" t="s">
        <v>63</v>
      </c>
      <c r="H10" s="89">
        <v>30</v>
      </c>
      <c r="I10" s="89">
        <v>60</v>
      </c>
      <c r="J10" s="72" t="s">
        <v>16</v>
      </c>
      <c r="K10" s="67">
        <f>H10*(O10-I10)</f>
        <v>1200</v>
      </c>
      <c r="L10" s="66">
        <v>2</v>
      </c>
      <c r="M10" s="89" t="s">
        <v>63</v>
      </c>
      <c r="N10" s="89">
        <v>25</v>
      </c>
      <c r="O10" s="89">
        <v>100</v>
      </c>
      <c r="P10" s="72" t="s">
        <v>16</v>
      </c>
      <c r="Q10" s="67">
        <f>K10</f>
        <v>1200</v>
      </c>
      <c r="S10" s="81">
        <f t="shared" si="0"/>
        <v>5</v>
      </c>
      <c r="T10" s="81"/>
      <c r="U10" s="85"/>
    </row>
    <row r="11" spans="6:21" x14ac:dyDescent="0.25">
      <c r="F11" s="66">
        <v>3</v>
      </c>
      <c r="G11" s="89" t="s">
        <v>64</v>
      </c>
      <c r="H11" s="89">
        <v>200</v>
      </c>
      <c r="I11" s="89">
        <v>20</v>
      </c>
      <c r="J11" s="72" t="s">
        <v>37</v>
      </c>
      <c r="K11" s="67"/>
      <c r="L11" s="66">
        <v>3</v>
      </c>
      <c r="M11" s="89" t="s">
        <v>64</v>
      </c>
      <c r="N11" s="89">
        <v>150</v>
      </c>
      <c r="O11" s="89">
        <v>80</v>
      </c>
      <c r="P11" s="72" t="s">
        <v>37</v>
      </c>
      <c r="Q11" s="67"/>
      <c r="S11" s="81">
        <f t="shared" si="0"/>
        <v>50</v>
      </c>
      <c r="T11" s="81"/>
      <c r="U11" s="85"/>
    </row>
    <row r="12" spans="6:21" x14ac:dyDescent="0.25">
      <c r="F12" s="66">
        <v>4</v>
      </c>
      <c r="G12" s="89" t="s">
        <v>65</v>
      </c>
      <c r="H12" s="89">
        <v>160</v>
      </c>
      <c r="I12" s="89">
        <v>100</v>
      </c>
      <c r="J12" s="72" t="s">
        <v>16</v>
      </c>
      <c r="K12" s="67">
        <f t="shared" ref="K12" si="1">H12*(O12-I12)</f>
        <v>16000</v>
      </c>
      <c r="L12" s="66">
        <v>4</v>
      </c>
      <c r="M12" s="89" t="s">
        <v>65</v>
      </c>
      <c r="N12" s="89">
        <v>80</v>
      </c>
      <c r="O12" s="89">
        <v>200</v>
      </c>
      <c r="P12" s="72" t="s">
        <v>16</v>
      </c>
      <c r="Q12" s="67">
        <f>K12</f>
        <v>16000</v>
      </c>
      <c r="S12" s="81">
        <f t="shared" si="0"/>
        <v>80</v>
      </c>
      <c r="T12" s="81"/>
      <c r="U12" s="85"/>
    </row>
    <row r="13" spans="6:21" x14ac:dyDescent="0.25">
      <c r="F13" s="66">
        <v>5</v>
      </c>
      <c r="G13" s="89" t="s">
        <v>66</v>
      </c>
      <c r="H13" s="89">
        <v>60</v>
      </c>
      <c r="I13" s="89">
        <v>20</v>
      </c>
      <c r="J13" s="72" t="s">
        <v>37</v>
      </c>
      <c r="K13" s="67"/>
      <c r="L13" s="66">
        <v>5</v>
      </c>
      <c r="M13" s="89" t="s">
        <v>66</v>
      </c>
      <c r="N13" s="89">
        <v>40</v>
      </c>
      <c r="O13" s="89">
        <v>60</v>
      </c>
      <c r="P13" s="72" t="s">
        <v>37</v>
      </c>
      <c r="Q13" s="67"/>
      <c r="S13" s="81">
        <f t="shared" si="0"/>
        <v>20</v>
      </c>
      <c r="T13" s="81"/>
      <c r="U13" s="85"/>
    </row>
    <row r="14" spans="6:21" x14ac:dyDescent="0.25">
      <c r="F14" s="66">
        <v>6</v>
      </c>
      <c r="G14" s="89" t="s">
        <v>67</v>
      </c>
      <c r="H14" s="89">
        <v>150</v>
      </c>
      <c r="I14" s="89">
        <v>20</v>
      </c>
      <c r="J14" s="72" t="s">
        <v>37</v>
      </c>
      <c r="K14" s="67"/>
      <c r="L14" s="66">
        <v>6</v>
      </c>
      <c r="M14" s="89" t="s">
        <v>67</v>
      </c>
      <c r="N14" s="89">
        <v>120</v>
      </c>
      <c r="O14" s="89">
        <v>80</v>
      </c>
      <c r="P14" s="72" t="s">
        <v>37</v>
      </c>
      <c r="Q14" s="67"/>
      <c r="S14" s="81">
        <f t="shared" si="0"/>
        <v>30</v>
      </c>
      <c r="T14" s="81"/>
      <c r="U14" s="85"/>
    </row>
    <row r="15" spans="6:21" ht="15.75" thickBot="1" x14ac:dyDescent="0.3">
      <c r="F15" s="68">
        <v>7</v>
      </c>
      <c r="G15" s="69" t="s">
        <v>90</v>
      </c>
      <c r="H15" s="69">
        <v>70</v>
      </c>
      <c r="I15" s="69">
        <v>80</v>
      </c>
      <c r="J15" s="73" t="s">
        <v>37</v>
      </c>
      <c r="K15" s="70"/>
      <c r="L15" s="75">
        <v>7</v>
      </c>
      <c r="M15" s="45" t="s">
        <v>90</v>
      </c>
      <c r="N15" s="45">
        <v>0</v>
      </c>
      <c r="O15" s="45">
        <v>200</v>
      </c>
      <c r="P15" s="72" t="s">
        <v>37</v>
      </c>
      <c r="Q15" s="67"/>
      <c r="S15" s="81">
        <f t="shared" si="0"/>
        <v>70</v>
      </c>
      <c r="T15" s="81"/>
      <c r="U15" s="85"/>
    </row>
    <row r="16" spans="6:21" ht="15.75" thickBot="1" x14ac:dyDescent="0.3">
      <c r="F16" s="18"/>
      <c r="G16" s="18"/>
      <c r="H16" s="18"/>
      <c r="I16" s="18"/>
      <c r="J16" s="18"/>
      <c r="K16" s="18"/>
      <c r="L16" s="68">
        <v>8</v>
      </c>
      <c r="M16" s="69" t="s">
        <v>91</v>
      </c>
      <c r="N16" s="69">
        <v>83.33</v>
      </c>
      <c r="O16" s="69">
        <v>20</v>
      </c>
      <c r="P16" s="73" t="s">
        <v>37</v>
      </c>
      <c r="Q16" s="70"/>
      <c r="S16" s="82"/>
      <c r="T16" s="82">
        <f>N16</f>
        <v>83.33</v>
      </c>
      <c r="U16" s="79" t="s">
        <v>65</v>
      </c>
    </row>
    <row r="17" spans="6:21" x14ac:dyDescent="0.25"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6:21" ht="15.75" thickBot="1" x14ac:dyDescent="0.3"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6:21" ht="15.75" thickBot="1" x14ac:dyDescent="0.3">
      <c r="F19" s="18"/>
      <c r="G19" s="18"/>
      <c r="H19" s="18"/>
      <c r="I19" s="18"/>
      <c r="J19" s="18"/>
      <c r="K19" s="18"/>
      <c r="L19" s="18"/>
      <c r="M19" s="18"/>
      <c r="N19" s="18"/>
      <c r="O19" s="18"/>
      <c r="S19" s="77">
        <f>SUM(S9:S15)</f>
        <v>265</v>
      </c>
      <c r="T19" s="77">
        <f>T16</f>
        <v>83.33</v>
      </c>
      <c r="U19" s="88"/>
    </row>
    <row r="20" spans="6:21" x14ac:dyDescent="0.25">
      <c r="G20" s="13"/>
      <c r="H20" s="13"/>
    </row>
  </sheetData>
  <mergeCells count="4">
    <mergeCell ref="F4:K4"/>
    <mergeCell ref="L4:Q4"/>
    <mergeCell ref="L5:Q5"/>
    <mergeCell ref="F5:K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3:Q18"/>
  <sheetViews>
    <sheetView workbookViewId="0">
      <selection activeCell="Q18" sqref="Q18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0" max="10" width="5.28515625" bestFit="1" customWidth="1"/>
    <col min="11" max="11" width="8" bestFit="1" customWidth="1"/>
    <col min="12" max="12" width="10.85546875" bestFit="1" customWidth="1"/>
    <col min="13" max="13" width="13.140625" bestFit="1" customWidth="1"/>
    <col min="14" max="14" width="9.7109375" bestFit="1" customWidth="1"/>
    <col min="15" max="15" width="13.7109375" bestFit="1" customWidth="1"/>
  </cols>
  <sheetData>
    <row r="3" spans="6:17" ht="15.75" thickBot="1" x14ac:dyDescent="0.3"/>
    <row r="4" spans="6:17" ht="15.75" thickBot="1" x14ac:dyDescent="0.3">
      <c r="F4" s="115" t="s">
        <v>127</v>
      </c>
      <c r="G4" s="116"/>
      <c r="H4" s="116"/>
      <c r="I4" s="116"/>
      <c r="J4" s="116"/>
      <c r="K4" s="117"/>
      <c r="L4" s="115" t="s">
        <v>130</v>
      </c>
      <c r="M4" s="116"/>
      <c r="N4" s="116"/>
      <c r="O4" s="116"/>
      <c r="P4" s="116"/>
      <c r="Q4" s="117"/>
    </row>
    <row r="5" spans="6:17" ht="15.75" thickBot="1" x14ac:dyDescent="0.3">
      <c r="F5" s="115"/>
      <c r="G5" s="116"/>
      <c r="H5" s="116"/>
      <c r="I5" s="116"/>
      <c r="J5" s="116"/>
      <c r="K5" s="117"/>
      <c r="L5" s="115"/>
      <c r="M5" s="116"/>
      <c r="N5" s="116"/>
      <c r="O5" s="116"/>
      <c r="P5" s="116"/>
      <c r="Q5" s="117"/>
    </row>
    <row r="6" spans="6:17" x14ac:dyDescent="0.25">
      <c r="F6" s="63" t="s">
        <v>40</v>
      </c>
      <c r="G6" s="64" t="s">
        <v>41</v>
      </c>
      <c r="H6" s="64" t="s">
        <v>42</v>
      </c>
      <c r="I6" s="64" t="s">
        <v>43</v>
      </c>
      <c r="J6" s="71" t="s">
        <v>35</v>
      </c>
      <c r="K6" s="71" t="s">
        <v>120</v>
      </c>
      <c r="L6" s="63" t="s">
        <v>40</v>
      </c>
      <c r="M6" s="64" t="s">
        <v>41</v>
      </c>
      <c r="N6" s="64" t="s">
        <v>42</v>
      </c>
      <c r="O6" s="64" t="s">
        <v>43</v>
      </c>
      <c r="P6" s="78" t="s">
        <v>35</v>
      </c>
      <c r="Q6" s="74" t="s">
        <v>120</v>
      </c>
    </row>
    <row r="7" spans="6:17" x14ac:dyDescent="0.25">
      <c r="F7" s="66" t="s">
        <v>7</v>
      </c>
      <c r="G7" s="89" t="s">
        <v>8</v>
      </c>
      <c r="H7" s="89" t="s">
        <v>11</v>
      </c>
      <c r="I7" s="89" t="s">
        <v>10</v>
      </c>
      <c r="J7" s="90" t="s">
        <v>125</v>
      </c>
      <c r="K7" s="72" t="s">
        <v>124</v>
      </c>
      <c r="L7" s="66" t="s">
        <v>7</v>
      </c>
      <c r="M7" s="91" t="s">
        <v>125</v>
      </c>
      <c r="N7" s="89" t="s">
        <v>11</v>
      </c>
      <c r="O7" s="89" t="s">
        <v>10</v>
      </c>
      <c r="P7" s="90" t="s">
        <v>125</v>
      </c>
      <c r="Q7" s="67" t="s">
        <v>124</v>
      </c>
    </row>
    <row r="8" spans="6:17" x14ac:dyDescent="0.25">
      <c r="F8" s="66">
        <v>1</v>
      </c>
      <c r="G8" s="89" t="s">
        <v>62</v>
      </c>
      <c r="H8" s="89">
        <v>10</v>
      </c>
      <c r="I8" s="89">
        <v>0</v>
      </c>
      <c r="J8" s="89" t="s">
        <v>16</v>
      </c>
      <c r="K8" s="72">
        <f>(O8-I8)*H8</f>
        <v>1000</v>
      </c>
      <c r="L8" s="66">
        <v>1</v>
      </c>
      <c r="M8" s="89" t="s">
        <v>62</v>
      </c>
      <c r="N8" s="89">
        <v>10</v>
      </c>
      <c r="O8" s="89">
        <v>100</v>
      </c>
      <c r="P8" s="89" t="s">
        <v>16</v>
      </c>
      <c r="Q8" s="67">
        <f>K8</f>
        <v>1000</v>
      </c>
    </row>
    <row r="9" spans="6:17" x14ac:dyDescent="0.25">
      <c r="F9" s="66">
        <v>2</v>
      </c>
      <c r="G9" s="89" t="s">
        <v>63</v>
      </c>
      <c r="H9" s="89">
        <v>20</v>
      </c>
      <c r="I9" s="89">
        <v>50</v>
      </c>
      <c r="J9" s="89" t="s">
        <v>16</v>
      </c>
      <c r="K9" s="72">
        <f t="shared" ref="K9:K12" si="0">(O9-I9)*H9</f>
        <v>1000</v>
      </c>
      <c r="L9" s="66">
        <v>2</v>
      </c>
      <c r="M9" s="89" t="s">
        <v>63</v>
      </c>
      <c r="N9" s="89">
        <v>20</v>
      </c>
      <c r="O9" s="89">
        <v>100</v>
      </c>
      <c r="P9" s="89" t="s">
        <v>16</v>
      </c>
      <c r="Q9" s="67">
        <f t="shared" ref="Q9:Q12" si="1">K9</f>
        <v>1000</v>
      </c>
    </row>
    <row r="10" spans="6:17" x14ac:dyDescent="0.25">
      <c r="F10" s="66">
        <v>3</v>
      </c>
      <c r="G10" s="89" t="s">
        <v>64</v>
      </c>
      <c r="H10" s="89">
        <v>20</v>
      </c>
      <c r="I10" s="89">
        <v>100</v>
      </c>
      <c r="J10" s="89" t="s">
        <v>16</v>
      </c>
      <c r="K10" s="72">
        <f t="shared" si="0"/>
        <v>6000</v>
      </c>
      <c r="L10" s="66">
        <v>3</v>
      </c>
      <c r="M10" s="89" t="s">
        <v>64</v>
      </c>
      <c r="N10" s="89">
        <v>20</v>
      </c>
      <c r="O10" s="89">
        <v>400</v>
      </c>
      <c r="P10" s="89" t="s">
        <v>16</v>
      </c>
      <c r="Q10" s="67">
        <f t="shared" si="1"/>
        <v>6000</v>
      </c>
    </row>
    <row r="11" spans="6:17" x14ac:dyDescent="0.25">
      <c r="F11" s="66">
        <v>4</v>
      </c>
      <c r="G11" s="89" t="s">
        <v>65</v>
      </c>
      <c r="H11" s="89">
        <v>20</v>
      </c>
      <c r="I11" s="89">
        <v>0</v>
      </c>
      <c r="J11" s="89" t="s">
        <v>16</v>
      </c>
      <c r="K11" s="72">
        <f t="shared" si="0"/>
        <v>200</v>
      </c>
      <c r="L11" s="66">
        <v>4</v>
      </c>
      <c r="M11" s="89" t="s">
        <v>65</v>
      </c>
      <c r="N11" s="89">
        <v>20</v>
      </c>
      <c r="O11" s="89">
        <v>10</v>
      </c>
      <c r="P11" s="89" t="s">
        <v>16</v>
      </c>
      <c r="Q11" s="67">
        <f t="shared" si="1"/>
        <v>200</v>
      </c>
    </row>
    <row r="12" spans="6:17" ht="15.75" thickBot="1" x14ac:dyDescent="0.3">
      <c r="F12" s="68">
        <v>5</v>
      </c>
      <c r="G12" s="69" t="s">
        <v>66</v>
      </c>
      <c r="H12" s="69">
        <v>40</v>
      </c>
      <c r="I12" s="69">
        <v>100</v>
      </c>
      <c r="J12" s="69" t="s">
        <v>16</v>
      </c>
      <c r="K12" s="73">
        <f t="shared" si="0"/>
        <v>4000</v>
      </c>
      <c r="L12" s="68">
        <v>5</v>
      </c>
      <c r="M12" s="69" t="s">
        <v>66</v>
      </c>
      <c r="N12" s="69">
        <v>30</v>
      </c>
      <c r="O12" s="69">
        <v>200</v>
      </c>
      <c r="P12" s="69" t="s">
        <v>16</v>
      </c>
      <c r="Q12" s="70">
        <f t="shared" si="1"/>
        <v>4000</v>
      </c>
    </row>
    <row r="16" spans="6:17" x14ac:dyDescent="0.25">
      <c r="G16">
        <v>0</v>
      </c>
      <c r="H16">
        <v>30</v>
      </c>
    </row>
    <row r="17" spans="7:8" x14ac:dyDescent="0.25">
      <c r="G17">
        <v>50</v>
      </c>
      <c r="H17">
        <v>20</v>
      </c>
    </row>
    <row r="18" spans="7:8" x14ac:dyDescent="0.25">
      <c r="G18">
        <v>100</v>
      </c>
      <c r="H18">
        <v>60</v>
      </c>
    </row>
  </sheetData>
  <mergeCells count="4">
    <mergeCell ref="F4:K4"/>
    <mergeCell ref="L4:Q4"/>
    <mergeCell ref="F5:K5"/>
    <mergeCell ref="L5:Q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4:Q23"/>
  <sheetViews>
    <sheetView topLeftCell="A4" workbookViewId="0">
      <selection activeCell="D9" sqref="D9:D16"/>
    </sheetView>
  </sheetViews>
  <sheetFormatPr defaultRowHeight="15" x14ac:dyDescent="0.25"/>
  <cols>
    <col min="6" max="6" width="10.85546875" bestFit="1" customWidth="1"/>
    <col min="7" max="7" width="13.140625" bestFit="1" customWidth="1"/>
    <col min="8" max="8" width="9.7109375" bestFit="1" customWidth="1"/>
    <col min="9" max="9" width="13.7109375" bestFit="1" customWidth="1"/>
    <col min="10" max="10" width="5.28515625" bestFit="1" customWidth="1"/>
    <col min="11" max="11" width="8" bestFit="1" customWidth="1"/>
    <col min="12" max="12" width="10.85546875" bestFit="1" customWidth="1"/>
    <col min="13" max="13" width="13.140625" bestFit="1" customWidth="1"/>
    <col min="14" max="14" width="9.7109375" bestFit="1" customWidth="1"/>
    <col min="15" max="15" width="13.7109375" bestFit="1" customWidth="1"/>
    <col min="16" max="16" width="5.28515625" bestFit="1" customWidth="1"/>
    <col min="17" max="17" width="8" bestFit="1" customWidth="1"/>
  </cols>
  <sheetData>
    <row r="4" spans="6:17" ht="15.75" thickBot="1" x14ac:dyDescent="0.3"/>
    <row r="5" spans="6:17" ht="15.75" thickBot="1" x14ac:dyDescent="0.3">
      <c r="F5" s="115" t="s">
        <v>135</v>
      </c>
      <c r="G5" s="116"/>
      <c r="H5" s="116"/>
      <c r="I5" s="116"/>
      <c r="J5" s="116"/>
      <c r="K5" s="117"/>
      <c r="L5" s="115" t="s">
        <v>136</v>
      </c>
      <c r="M5" s="116"/>
      <c r="N5" s="116"/>
      <c r="O5" s="116"/>
      <c r="P5" s="116"/>
      <c r="Q5" s="117"/>
    </row>
    <row r="6" spans="6:17" ht="15.75" thickBot="1" x14ac:dyDescent="0.3">
      <c r="F6" s="115"/>
      <c r="G6" s="116"/>
      <c r="H6" s="116"/>
      <c r="I6" s="116"/>
      <c r="J6" s="116"/>
      <c r="K6" s="117"/>
      <c r="L6" s="115"/>
      <c r="M6" s="116"/>
      <c r="N6" s="116"/>
      <c r="O6" s="116"/>
      <c r="P6" s="116"/>
      <c r="Q6" s="117"/>
    </row>
    <row r="7" spans="6:17" x14ac:dyDescent="0.25">
      <c r="F7" s="63" t="s">
        <v>40</v>
      </c>
      <c r="G7" s="64" t="s">
        <v>132</v>
      </c>
      <c r="H7" s="64" t="s">
        <v>42</v>
      </c>
      <c r="I7" s="64" t="s">
        <v>43</v>
      </c>
      <c r="J7" s="71" t="s">
        <v>35</v>
      </c>
      <c r="K7" s="65" t="s">
        <v>120</v>
      </c>
      <c r="L7" s="63" t="s">
        <v>40</v>
      </c>
      <c r="M7" s="64" t="s">
        <v>132</v>
      </c>
      <c r="N7" s="64" t="s">
        <v>42</v>
      </c>
      <c r="O7" s="64" t="s">
        <v>43</v>
      </c>
      <c r="P7" s="78" t="s">
        <v>35</v>
      </c>
      <c r="Q7" s="74" t="s">
        <v>120</v>
      </c>
    </row>
    <row r="8" spans="6:17" ht="15.75" thickBot="1" x14ac:dyDescent="0.3">
      <c r="F8" s="107" t="s">
        <v>133</v>
      </c>
      <c r="G8" s="69" t="s">
        <v>8</v>
      </c>
      <c r="H8" s="69" t="s">
        <v>11</v>
      </c>
      <c r="I8" s="69" t="s">
        <v>10</v>
      </c>
      <c r="J8" s="94" t="s">
        <v>125</v>
      </c>
      <c r="K8" s="70" t="s">
        <v>124</v>
      </c>
      <c r="L8" s="106" t="s">
        <v>134</v>
      </c>
      <c r="M8" s="102" t="s">
        <v>125</v>
      </c>
      <c r="N8" s="45" t="s">
        <v>11</v>
      </c>
      <c r="O8" s="45" t="s">
        <v>10</v>
      </c>
      <c r="P8" s="101" t="s">
        <v>125</v>
      </c>
      <c r="Q8" s="103" t="s">
        <v>124</v>
      </c>
    </row>
    <row r="9" spans="6:17" x14ac:dyDescent="0.25">
      <c r="F9" s="104">
        <v>1</v>
      </c>
      <c r="G9" s="105" t="s">
        <v>62</v>
      </c>
      <c r="H9" s="105">
        <v>20</v>
      </c>
      <c r="I9" s="105">
        <v>0</v>
      </c>
      <c r="J9" s="105" t="s">
        <v>16</v>
      </c>
      <c r="K9" s="74">
        <f>(O9-I9)*H9</f>
        <v>2000</v>
      </c>
      <c r="L9" s="104">
        <v>1</v>
      </c>
      <c r="M9" s="105" t="s">
        <v>62</v>
      </c>
      <c r="N9" s="105">
        <v>20</v>
      </c>
      <c r="O9" s="105">
        <v>100</v>
      </c>
      <c r="P9" s="105" t="s">
        <v>16</v>
      </c>
      <c r="Q9" s="74">
        <f>K9</f>
        <v>2000</v>
      </c>
    </row>
    <row r="10" spans="6:17" x14ac:dyDescent="0.25">
      <c r="F10" s="66">
        <v>2</v>
      </c>
      <c r="G10" s="89" t="s">
        <v>63</v>
      </c>
      <c r="H10" s="89">
        <v>50</v>
      </c>
      <c r="I10" s="89">
        <v>20</v>
      </c>
      <c r="J10" s="108" t="s">
        <v>37</v>
      </c>
      <c r="K10" s="67"/>
      <c r="L10" s="66">
        <v>2</v>
      </c>
      <c r="M10" s="89" t="s">
        <v>63</v>
      </c>
      <c r="N10" s="89">
        <v>50</v>
      </c>
      <c r="O10" s="89">
        <v>50</v>
      </c>
      <c r="P10" s="89" t="s">
        <v>37</v>
      </c>
      <c r="Q10" s="67"/>
    </row>
    <row r="11" spans="6:17" x14ac:dyDescent="0.25">
      <c r="F11" s="66">
        <v>3</v>
      </c>
      <c r="G11" s="89" t="s">
        <v>64</v>
      </c>
      <c r="H11" s="89">
        <v>100</v>
      </c>
      <c r="I11" s="89">
        <v>50</v>
      </c>
      <c r="J11" s="89" t="s">
        <v>16</v>
      </c>
      <c r="K11" s="67">
        <f t="shared" ref="K11:K16" si="0">(O11-I11)*H11</f>
        <v>5000</v>
      </c>
      <c r="L11" s="66">
        <v>3</v>
      </c>
      <c r="M11" s="89" t="s">
        <v>64</v>
      </c>
      <c r="N11" s="89">
        <v>100</v>
      </c>
      <c r="O11" s="89">
        <v>100</v>
      </c>
      <c r="P11" s="89" t="s">
        <v>16</v>
      </c>
      <c r="Q11" s="67">
        <f t="shared" ref="Q11:Q16" si="1">K11</f>
        <v>5000</v>
      </c>
    </row>
    <row r="12" spans="6:17" x14ac:dyDescent="0.25">
      <c r="F12" s="66">
        <v>4</v>
      </c>
      <c r="G12" s="89" t="s">
        <v>65</v>
      </c>
      <c r="H12" s="89">
        <v>40</v>
      </c>
      <c r="I12" s="89">
        <v>50</v>
      </c>
      <c r="J12" s="89" t="s">
        <v>16</v>
      </c>
      <c r="K12" s="67">
        <f t="shared" si="0"/>
        <v>30000</v>
      </c>
      <c r="L12" s="66">
        <v>4</v>
      </c>
      <c r="M12" s="89" t="s">
        <v>65</v>
      </c>
      <c r="N12" s="89">
        <v>40</v>
      </c>
      <c r="O12" s="89">
        <v>800</v>
      </c>
      <c r="P12" s="89" t="s">
        <v>16</v>
      </c>
      <c r="Q12" s="67">
        <f t="shared" si="1"/>
        <v>30000</v>
      </c>
    </row>
    <row r="13" spans="6:17" x14ac:dyDescent="0.25">
      <c r="F13" s="66">
        <v>5</v>
      </c>
      <c r="G13" s="89" t="s">
        <v>66</v>
      </c>
      <c r="H13" s="89">
        <v>100</v>
      </c>
      <c r="I13" s="89">
        <v>50</v>
      </c>
      <c r="J13" s="108" t="s">
        <v>37</v>
      </c>
      <c r="K13" s="67"/>
      <c r="L13" s="66">
        <v>5</v>
      </c>
      <c r="M13" s="89" t="s">
        <v>66</v>
      </c>
      <c r="N13" s="89">
        <v>100</v>
      </c>
      <c r="O13" s="89">
        <v>100</v>
      </c>
      <c r="P13" s="89" t="s">
        <v>37</v>
      </c>
      <c r="Q13" s="67"/>
    </row>
    <row r="14" spans="6:17" x14ac:dyDescent="0.25">
      <c r="F14" s="66">
        <v>6</v>
      </c>
      <c r="G14" s="89" t="s">
        <v>67</v>
      </c>
      <c r="H14" s="89">
        <v>80</v>
      </c>
      <c r="I14" s="89">
        <v>100</v>
      </c>
      <c r="J14" s="108" t="s">
        <v>37</v>
      </c>
      <c r="K14" s="67"/>
      <c r="L14" s="66">
        <v>6</v>
      </c>
      <c r="M14" s="89" t="s">
        <v>67</v>
      </c>
      <c r="N14" s="89">
        <v>70</v>
      </c>
      <c r="O14" s="89">
        <v>150</v>
      </c>
      <c r="P14" s="89" t="s">
        <v>37</v>
      </c>
      <c r="Q14" s="67"/>
    </row>
    <row r="15" spans="6:17" x14ac:dyDescent="0.25">
      <c r="F15" s="66">
        <v>7</v>
      </c>
      <c r="G15" s="89" t="s">
        <v>90</v>
      </c>
      <c r="H15" s="89">
        <v>70</v>
      </c>
      <c r="I15" s="89">
        <v>200</v>
      </c>
      <c r="J15" s="108" t="s">
        <v>37</v>
      </c>
      <c r="K15" s="67"/>
      <c r="L15" s="66">
        <v>7</v>
      </c>
      <c r="M15" s="89" t="s">
        <v>90</v>
      </c>
      <c r="N15" s="89">
        <v>60</v>
      </c>
      <c r="O15" s="89">
        <v>250</v>
      </c>
      <c r="P15" s="89" t="s">
        <v>37</v>
      </c>
      <c r="Q15" s="67"/>
    </row>
    <row r="16" spans="6:17" ht="15.75" thickBot="1" x14ac:dyDescent="0.3">
      <c r="F16" s="68">
        <v>8</v>
      </c>
      <c r="G16" s="69" t="s">
        <v>91</v>
      </c>
      <c r="H16" s="69">
        <v>10</v>
      </c>
      <c r="I16" s="69">
        <v>400</v>
      </c>
      <c r="J16" s="69" t="s">
        <v>16</v>
      </c>
      <c r="K16" s="70">
        <f t="shared" si="0"/>
        <v>4000</v>
      </c>
      <c r="L16" s="68">
        <v>8</v>
      </c>
      <c r="M16" s="69" t="s">
        <v>91</v>
      </c>
      <c r="N16" s="69">
        <v>10</v>
      </c>
      <c r="O16" s="69">
        <v>800</v>
      </c>
      <c r="P16" s="69" t="s">
        <v>16</v>
      </c>
      <c r="Q16" s="70">
        <f t="shared" si="1"/>
        <v>4000</v>
      </c>
    </row>
    <row r="21" spans="8:11" x14ac:dyDescent="0.25">
      <c r="I21">
        <v>0</v>
      </c>
      <c r="J21" t="s">
        <v>137</v>
      </c>
    </row>
    <row r="22" spans="8:11" x14ac:dyDescent="0.25">
      <c r="H22" t="s">
        <v>131</v>
      </c>
      <c r="I22">
        <v>50</v>
      </c>
      <c r="J22" t="s">
        <v>138</v>
      </c>
    </row>
    <row r="23" spans="8:11" x14ac:dyDescent="0.25">
      <c r="I23">
        <v>100</v>
      </c>
      <c r="J23">
        <v>150</v>
      </c>
      <c r="K23">
        <v>5.7140000000000004</v>
      </c>
    </row>
  </sheetData>
  <mergeCells count="4">
    <mergeCell ref="F5:K5"/>
    <mergeCell ref="L5:Q5"/>
    <mergeCell ref="F6:K6"/>
    <mergeCell ref="L6:Q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Sheet25</vt:lpstr>
      <vt:lpstr>Sheet26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2016-06-06T02:39:03Z</dcterms:modified>
</cp:coreProperties>
</file>